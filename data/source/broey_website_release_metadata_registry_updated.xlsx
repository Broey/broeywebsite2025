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152098d9e2e4987" /></Relationships>
</file>

<file path=xl/workbook.xml><?xml version="1.0" encoding="utf-8"?>
<x:workbook xmlns:x="http://schemas.openxmlformats.org/spreadsheetml/2006/main">
  <x:sheets>
    <x:sheet xmlns:r="http://schemas.openxmlformats.org/officeDocument/2006/relationships" name="README" sheetId="1" r:id="R2bdcab0c6ff44dcf"/>
    <x:sheet xmlns:r="http://schemas.openxmlformats.org/officeDocument/2006/relationships" name="Dashboard" sheetId="2" r:id="R2dc927025bac45db"/>
    <x:sheet xmlns:r="http://schemas.openxmlformats.org/officeDocument/2006/relationships" name="Release Registry" sheetId="3" r:id="Rf5968bb988614f14"/>
    <x:sheet xmlns:r="http://schemas.openxmlformats.org/officeDocument/2006/relationships" name="Track Registry" sheetId="4" r:id="R2d9405d70aa14634"/>
    <x:sheet xmlns:r="http://schemas.openxmlformats.org/officeDocument/2006/relationships" name="Website Copy" sheetId="5" r:id="Rf32751b8422e48cd"/>
    <x:sheet xmlns:r="http://schemas.openxmlformats.org/officeDocument/2006/relationships" name="Platform Notes" sheetId="6" r:id="Re85ce94d12d94c05"/>
    <x:sheet xmlns:r="http://schemas.openxmlformats.org/officeDocument/2006/relationships" name="CMG Source Fields" sheetId="7" r:id="R0c148ebd28ec47ac"/>
    <x:sheet xmlns:r="http://schemas.openxmlformats.org/officeDocument/2006/relationships" name="Ignored Fields" sheetId="8" r:id="R23a039b5878b4169"/>
    <x:sheet xmlns:r="http://schemas.openxmlformats.org/officeDocument/2006/relationships" name="Data Dictionary" sheetId="9" r:id="R08ac55815c184ca4"/>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
    <x:numFmt numFmtId="202" formatCode="mm/dd/yyyy"/>
  </x:numFmts>
  <x:fonts count="8">
    <x:font>
      <x:sz val="11"/>
      <x:name val="Carlito"/>
    </x:font>
    <x:font>
      <x:b/>
      <x:sz val="11"/>
      <x:color rgb="FFFFFFFF"/>
      <x:name val="Carlito"/>
    </x:font>
    <x:font>
      <x:b/>
      <x:sz val="16"/>
      <x:color rgb="FFFFFFFF"/>
      <x:name val="Carlito"/>
    </x:font>
    <x:font>
      <x:b/>
      <x:sz val="11"/>
      <x:name val="Carlito"/>
    </x:font>
    <x:font>
      <x:b/>
      <x:sz val="10"/>
      <x:color rgb="FFFFFFFF"/>
      <x:name val="Aptos"/>
    </x:font>
    <x:font>
      <x:sz val="10"/>
      <x:name val="Aptos"/>
    </x:font>
    <x:font>
      <x:b/>
      <x:sz val="10"/>
      <x:name val="Aptos"/>
    </x:font>
    <x:font>
      <x:b/>
      <x:sz val="16"/>
      <x:color rgb="FFFFFFFF"/>
      <x:name val="Aptos"/>
    </x:font>
  </x:fonts>
  <x:fills count="6">
    <x:fill>
      <x:patternFill patternType="none"/>
    </x:fill>
    <x:fill>
      <x:patternFill patternType="gray125"/>
    </x:fill>
    <x:fill>
      <x:patternFill patternType="solid">
        <x:fgColor rgb="FF0F172A"/>
      </x:patternFill>
    </x:fill>
    <x:fill>
      <x:patternFill patternType="solid">
        <x:fgColor rgb="FF111827"/>
      </x:patternFill>
    </x:fill>
    <x:fill>
      <x:patternFill patternType="solid">
        <x:fgColor rgb="FFE5E7EB"/>
      </x:patternFill>
    </x:fill>
    <x:fill>
      <x:patternFill patternType="solid">
        <x:fgColor rgb="FF2563EB"/>
      </x:patternFill>
    </x:fill>
  </x:fills>
  <x:borders count="2">
    <x:border/>
    <x:border/>
  </x:borders>
  <x:cellStyleXfs count="1">
    <x:xf numFmtId="0" fontId="0" fillId="0" borderId="0"/>
  </x:cellStyleXfs>
  <x:cellXfs count="6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3"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left" vertical="center" wrapText="1"/>
    </x:xf>
    <x:xf numFmtId="0" fontId="1" fillId="3" borderId="1"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xf numFmtId="0" fontId="2" fillId="3" borderId="1" xfId="0" applyNumberFormat="1" applyFont="1" applyFill="1" applyBorder="1" applyAlignment="1">
      <x:alignment horizontal="left" vertical="center" wrapText="1"/>
    </x:xf>
    <x:xf numFmtId="0" fontId="0"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3" fillId="4"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200" fontId="0" fillId="5"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200" fontId="1"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200" fontId="0" fillId="5" borderId="1" xfId="0" applyNumberFormat="1" applyFont="1" applyFill="1" applyBorder="1" applyAlignment="1">
      <x:alignment vertical="top" wrapText="1"/>
    </x:xf>
    <x:xf numFmtId="0" fontId="1" fillId="5" borderId="1" xfId="0" applyNumberFormat="1" applyFont="1" applyFill="1" applyBorder="1" applyAlignment="1">
      <x:alignment vertical="top" wrapText="1"/>
    </x:xf>
    <x:xf numFmtId="200" fontId="1" fillId="5" borderId="1" xfId="0" applyNumberFormat="1" applyFont="1" applyFill="1" applyBorder="1" applyAlignment="1">
      <x:alignment vertical="top" wrapText="1"/>
    </x:xf>
    <x:xf numFmtId="0" fontId="4" fillId="3" borderId="0" xfId="0" applyNumberFormat="1" applyFont="1" applyFill="1" applyBorder="1" applyAlignment="1">
      <x:alignment horizontal="left" vertical="center" wrapText="1"/>
    </x:xf>
    <x:xf numFmtId="0" fontId="4" fillId="2" borderId="0" xfId="0" applyNumberFormat="1" applyFont="1" applyFill="1" applyBorder="1" applyAlignment="1">
      <x:alignment horizontal="center" vertical="center" wrapText="1"/>
    </x:xf>
    <x:xf numFmtId="0" fontId="5" fillId="0" borderId="0"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4" fillId="3" borderId="0" xfId="0" applyNumberFormat="1" applyFont="1" applyFill="1" applyBorder="1" applyAlignment="1">
      <x:alignment horizontal="left" vertical="top" wrapText="1"/>
    </x:xf>
    <x:xf numFmtId="0" fontId="4" fillId="2" borderId="0" xfId="0" applyNumberFormat="1" applyFont="1" applyFill="1" applyBorder="1" applyAlignment="1">
      <x:alignment horizontal="center" vertical="top" wrapText="1"/>
    </x:xf>
    <x:xf numFmtId="0" fontId="4" fillId="3" borderId="1" xfId="0" applyNumberFormat="1" applyFont="1" applyFill="1" applyBorder="1" applyAlignment="1">
      <x:alignment horizontal="left" vertical="center" wrapText="1"/>
    </x:xf>
    <x:xf numFmtId="0" fontId="4" fillId="2" borderId="1" xfId="0" applyNumberFormat="1" applyFont="1" applyFill="1" applyBorder="1" applyAlignment="1">
      <x:alignment horizontal="center" vertical="center" wrapText="1"/>
    </x:xf>
    <x:xf numFmtId="0" fontId="5" fillId="0" borderId="1" xfId="0" applyNumberFormat="1" applyFont="1" applyFill="1" applyBorder="1" applyAlignment="1">
      <x:alignment vertical="top" wrapText="1"/>
    </x:xf>
    <x:xf numFmtId="0" fontId="6" fillId="4" borderId="1" xfId="0" applyNumberFormat="1" applyFont="1" applyFill="1" applyBorder="1" applyAlignment="1">
      <x:alignment vertical="top" wrapText="1"/>
    </x:xf>
    <x:xf numFmtId="0" fontId="4" fillId="3" borderId="1" xfId="0" applyNumberFormat="1" applyFont="1" applyFill="1" applyBorder="1" applyAlignment="1">
      <x:alignment horizontal="left" vertical="top" wrapText="1"/>
    </x:xf>
    <x:xf numFmtId="0" fontId="4" fillId="2" borderId="1" xfId="0" applyNumberFormat="1" applyFont="1" applyFill="1" applyBorder="1" applyAlignment="1">
      <x:alignment horizontal="center" vertical="top" wrapText="1"/>
    </x:xf>
    <x:xf numFmtId="0" fontId="4" fillId="2" borderId="0" xfId="0" applyNumberFormat="1" applyFont="1" applyFill="1" applyBorder="1" applyAlignment="1">
      <x:alignment horizontal="left" vertical="top" wrapText="1"/>
    </x:xf>
    <x:xf numFmtId="0" fontId="4" fillId="2" borderId="1" xfId="0" applyNumberFormat="1" applyFont="1" applyFill="1" applyBorder="1" applyAlignment="1">
      <x:alignment horizontal="left" vertical="top" wrapText="1"/>
    </x:xf>
    <x:xf numFmtId="200" fontId="5" fillId="0"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200" fontId="4" fillId="5" borderId="0" xfId="0" applyNumberFormat="1" applyFont="1" applyFill="1" applyBorder="1" applyAlignment="1">
      <x:alignment vertical="top" wrapText="1"/>
    </x:xf>
    <x:xf numFmtId="200" fontId="5" fillId="0" borderId="1" xfId="0" applyNumberFormat="1" applyFont="1" applyFill="1" applyBorder="1" applyAlignment="1">
      <x:alignment vertical="top" wrapText="1"/>
    </x:xf>
    <x:xf numFmtId="0" fontId="4" fillId="5" borderId="1" xfId="0" applyNumberFormat="1" applyFont="1" applyFill="1" applyBorder="1" applyAlignment="1">
      <x:alignment vertical="top" wrapText="1"/>
    </x:xf>
    <x:xf numFmtId="200" fontId="4" fillId="5" borderId="1" xfId="0" applyNumberFormat="1" applyFont="1" applyFill="1" applyBorder="1" applyAlignment="1">
      <x:alignment vertical="top" wrapText="1"/>
    </x:xf>
    <x:xf numFmtId="0" fontId="4" fillId="3" borderId="0" xfId="0" applyNumberFormat="1" applyFont="1" applyFill="1" applyBorder="1" applyAlignment="1">
      <x:alignment horizontal="center" vertical="center" wrapText="1"/>
    </x:xf>
    <x:xf numFmtId="0" fontId="7" fillId="3" borderId="0" xfId="0" applyNumberFormat="1" applyFont="1" applyFill="1" applyBorder="1" applyAlignment="1">
      <x:alignment horizontal="center" vertical="center" wrapText="1"/>
    </x:xf>
    <x:xf numFmtId="0" fontId="7" fillId="3" borderId="0" xfId="0" applyNumberFormat="1" applyFont="1" applyFill="1" applyBorder="1" applyAlignment="1">
      <x:alignment horizontal="left" vertical="center" wrapText="1"/>
    </x:xf>
    <x:xf numFmtId="0" fontId="4" fillId="3" borderId="1" xfId="0" applyNumberFormat="1" applyFont="1" applyFill="1" applyBorder="1" applyAlignment="1">
      <x:alignment horizontal="center" vertical="center" wrapText="1"/>
    </x:xf>
    <x:xf numFmtId="0" fontId="7" fillId="3" borderId="1" xfId="0" applyNumberFormat="1" applyFont="1" applyFill="1" applyBorder="1" applyAlignment="1">
      <x:alignment horizontal="center" vertical="center" wrapText="1"/>
    </x:xf>
    <x:xf numFmtId="0" fontId="7" fillId="3" borderId="1" xfId="0" applyNumberFormat="1" applyFont="1" applyFill="1" applyBorder="1" applyAlignment="1">
      <x:alignment horizontal="left" vertical="center" wrapText="1"/>
    </x:xf>
    <x:xf numFmtId="201" fontId="4" fillId="5" borderId="0" xfId="0" applyNumberFormat="1" applyFont="1" applyFill="1" applyBorder="1" applyAlignment="1">
      <x:alignment vertical="top" wrapText="1"/>
    </x:xf>
    <x:xf numFmtId="201" fontId="5" fillId="0" borderId="0" xfId="0" applyNumberFormat="1" applyFont="1" applyFill="1" applyBorder="1" applyAlignment="1">
      <x:alignment vertical="top" wrapText="1"/>
    </x:xf>
    <x:xf numFmtId="201" fontId="4" fillId="5" borderId="1" xfId="0" applyNumberFormat="1" applyFont="1" applyFill="1" applyBorder="1" applyAlignment="1">
      <x:alignment vertical="top" wrapText="1"/>
    </x:xf>
    <x:xf numFmtId="201" fontId="5" fillId="0" borderId="1" xfId="0" applyNumberFormat="1" applyFont="1" applyFill="1" applyBorder="1" applyAlignment="1">
      <x:alignment vertical="top" wrapText="1"/>
    </x:xf>
    <x:xf numFmtId="0" fontId="0" fillId="0" borderId="0" xfId="0" applyNumberFormat="1" applyFont="1" applyFill="1" applyBorder="1"/>
    <x:xf numFmtId="202" fontId="5" fillId="0" borderId="0" xfId="0" applyNumberFormat="1" applyFont="1" applyFill="1" applyBorder="1" applyAlignment="1">
      <x:alignment vertical="top" wrapText="1"/>
    </x:xf>
  </x:cellXfs>
  <x:cellStyles count="1">
    <x:cellStyle name="Normal" xfId="0"/>
  </x:cellStyles>
  <x:dxfs count="5">
    <x:dxf>
      <x:fill>
        <x:patternFill>
          <x:bgColor rgb="FFFEF3C7"/>
        </x:patternFill>
      </x:fill>
    </x:dxf>
    <x:dxf>
      <x:fill>
        <x:patternFill>
          <x:bgColor rgb="FFFEE2E2"/>
        </x:patternFill>
      </x:fill>
    </x:dxf>
    <x:dxf>
      <x:fill>
        <x:patternFill>
          <x:bgColor rgb="FFDCFCE7"/>
        </x:patternFill>
      </x:fill>
    </x:dxf>
    <x:dxf>
      <x:fill>
        <x:patternFill>
          <x:bgColor rgb="FFFEE2E2"/>
        </x:patternFill>
      </x:fill>
    </x:dxf>
    <x:dxf>
      <x:fill>
        <x:patternFill>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745302dcc2d4658" /><Relationship Type="http://schemas.openxmlformats.org/officeDocument/2006/relationships/theme" Target="/xl/theme/theme1.xml" Id="Rf74c6b7dba3c42bf" /><Relationship Type="http://schemas.openxmlformats.org/officeDocument/2006/relationships/sharedStrings" Target="/xl/sharedStrings.xml" Id="R7029554ad1334763" /><Relationship Type="http://schemas.openxmlformats.org/officeDocument/2006/relationships/worksheet" Target="/xl/worksheets/sheet1.xml" Id="R2bdcab0c6ff44dcf" /><Relationship Type="http://schemas.openxmlformats.org/officeDocument/2006/relationships/worksheet" Target="/xl/worksheets/sheet2.xml" Id="R2dc927025bac45db" /><Relationship Type="http://schemas.openxmlformats.org/officeDocument/2006/relationships/worksheet" Target="/xl/worksheets/sheet3.xml" Id="Rf5968bb988614f14" /><Relationship Type="http://schemas.openxmlformats.org/officeDocument/2006/relationships/worksheet" Target="/xl/worksheets/sheet4.xml" Id="R2d9405d70aa14634" /><Relationship Type="http://schemas.openxmlformats.org/officeDocument/2006/relationships/worksheet" Target="/xl/worksheets/sheet5.xml" Id="Rf32751b8422e48cd" /><Relationship Type="http://schemas.openxmlformats.org/officeDocument/2006/relationships/worksheet" Target="/xl/worksheets/sheet6.xml" Id="Re85ce94d12d94c05" /><Relationship Type="http://schemas.openxmlformats.org/officeDocument/2006/relationships/worksheet" Target="/xl/worksheets/sheet7.xml" Id="R0c148ebd28ec47ac" /><Relationship Type="http://schemas.openxmlformats.org/officeDocument/2006/relationships/worksheet" Target="/xl/worksheets/sheet8.xml" Id="R23a039b5878b4169" /><Relationship Type="http://schemas.openxmlformats.org/officeDocument/2006/relationships/worksheet" Target="/xl/worksheets/sheet9.xml" Id="R08ac55815c184ca4" /></Relationships>
</file>

<file path=xl/drawings/_rels/drawing1.xml.rels>&#65279;<?xml version="1.0" encoding="utf-8"?><Relationships xmlns="http://schemas.openxmlformats.org/package/2006/relationships"><Relationship Type="http://schemas.openxmlformats.org/officeDocument/2006/relationships/chart" Target="/xl/drawings/charts/chart1.xml" Id="Rc156d49f025b4b2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Releases by Year</a:t>
            </a:r>
          </a:p>
        </c:rich>
      </c:tx>
      <c:overlay val="0"/>
    </c:title>
    <c:autoTitleDeleted val="0"/>
    <c:plotArea>
      <c:layout/>
      <c:barChart>
        <c:barDir val="col"/>
        <c:varyColors val="0"/>
        <c:ser>
          <c:idx val="0"/>
          <c:order val="0"/>
          <c:tx>
            <c:v>Count</c:v>
          </c:tx>
          <c:cat>
            <c:strRef>
              <c:f>'Dashboard'!$E$6:$E$8</c:f>
              <c:strCache>
                <c:ptCount val="0"/>
              </c:strCache>
            </c:strRef>
          </c:cat>
          <c:val>
            <c:numRef>
              <c:f>'Dashboard'!$F$6:$F$8</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3</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156d49f025b4b2a"/>
        </a:graphicData>
      </a:graphic>
    </xdr:graphicFrame>
    <xdr:clientData/>
  </xdr:twoCellAnchor>
</xdr:wsDr>
</file>

<file path=xl/tables/table1.xml><?xml version="1.0" encoding="utf-8"?>
<x:table xmlns:x="http://schemas.openxmlformats.org/spreadsheetml/2006/main" id="1" name="ReleaseRegistryTable" displayName="ReleaseRegistryTable" ref="A1:AE9" headerRowCount="1">
  <x:tableColumns count="31">
    <x:tableColumn id="1" name="Publish Status"/>
    <x:tableColumn id="2" name="Website Slug"/>
    <x:tableColumn id="3" name="Website Route"/>
    <x:tableColumn id="4" name="Release Title"/>
    <x:tableColumn id="5" name="Display Artist(s)"/>
    <x:tableColumn id="6" name="Release Type"/>
    <x:tableColumn id="7" name="Release Date"/>
    <x:tableColumn id="8" name="Year"/>
    <x:tableColumn id="9" name="Pre-order Date"/>
    <x:tableColumn id="10" name="Label"/>
    <x:tableColumn id="11" name="Catalog Number"/>
    <x:tableColumn id="12" name="UPC"/>
    <x:tableColumn id="13" name="Alternate Catalog / UPC Notes"/>
    <x:tableColumn id="14" name="Focus Track"/>
    <x:tableColumn id="15" name="Primary Genre(s)"/>
    <x:tableColumn id="16" name="Mood / Energy"/>
    <x:tableColumn id="17" name="Origin / Based"/>
    <x:tableColumn id="18" name="P Line"/>
    <x:tableColumn id="19" name="C Line"/>
    <x:tableColumn id="20" name="Explicit"/>
    <x:tableColumn id="21" name="Language"/>
    <x:tableColumn id="22" name="Pre-save / Smart Link"/>
    <x:tableColumn id="23" name="Listening Link / Private Link"/>
    <x:tableColumn id="24" name="Press Photo Link"/>
    <x:tableColumn id="25" name="EPK Link"/>
    <x:tableColumn id="26" name="Target Markets"/>
    <x:tableColumn id="27" name="Website Summary"/>
    <x:tableColumn id="28" name="Long Description / Source Story"/>
    <x:tableColumn id="29" name="Website Guidance / Notes"/>
    <x:tableColumn id="30" name="Data Confidence"/>
    <x:tableColumn id="31" name="Source"/>
  </x:tableColumns>
  <x:tableStyleInfo name="TableStyleMedium2" showRowStripes="1"/>
</x:table>
</file>

<file path=xl/tables/table2.xml><?xml version="1.0" encoding="utf-8"?>
<x:table xmlns:x="http://schemas.openxmlformats.org/spreadsheetml/2006/main" id="2" name="TrackRegistryTable" displayName="TrackRegistryTable" ref="A1:AF27" headerRowCount="1">
  <x:tableColumns count="32">
    <x:tableColumn id="1" name="Release Slug"/>
    <x:tableColumn id="2" name="Website Route"/>
    <x:tableColumn id="3" name="Release Title"/>
    <x:tableColumn id="4" name="Release Date"/>
    <x:tableColumn id="5" name="Track #"/>
    <x:tableColumn id="6" name="Track Display Title"/>
    <x:tableColumn id="7" name="Base Track Title"/>
    <x:tableColumn id="8" name="Track Mix / Version"/>
    <x:tableColumn id="9" name="Display Artist(s)"/>
    <x:tableColumn id="10" name="Artist List"/>
    <x:tableColumn id="11" name="Remixer(s)"/>
    <x:tableColumn id="12" name="Featured Artist(s)"/>
    <x:tableColumn id="13" name="Duration"/>
    <x:tableColumn id="14" name="ISRC"/>
    <x:tableColumn id="15" name="Main Genre"/>
    <x:tableColumn id="16" name="EDM Genre"/>
    <x:tableColumn id="17" name="Custom Genre / Style"/>
    <x:tableColumn id="18" name="TikTok Timestamp"/>
    <x:tableColumn id="19" name="Publisher"/>
    <x:tableColumn id="20" name="Copyright Holder"/>
    <x:tableColumn id="21" name="P Line"/>
    <x:tableColumn id="22" name="C Line"/>
    <x:tableColumn id="23" name="Explicit"/>
    <x:tableColumn id="24" name="Cover?"/>
    <x:tableColumn id="25" name="Producer / Credits"/>
    <x:tableColumn id="26" name="Lyricist Credits"/>
    <x:tableColumn id="27" name="Songwriters"/>
    <x:tableColumn id="28" name="Master Splits"/>
    <x:tableColumn id="29" name="Track Short Copy"/>
    <x:tableColumn id="30" name="Website Placement Notes"/>
    <x:tableColumn id="31" name="Source"/>
    <x:tableColumn id="32" name="Data Confidence"/>
  </x:tableColumns>
  <x:tableStyleInfo name="TableStyleMedium2" showRowStripes="1"/>
</x:table>
</file>

<file path=xl/tables/table3.xml><?xml version="1.0" encoding="utf-8"?>
<x:table xmlns:x="http://schemas.openxmlformats.org/spreadsheetml/2006/main" id="3" name="WebsiteCopyTable" displayName="WebsiteCopyTable" ref="A1:I51" headerRowCount="1">
  <x:tableColumns count="9">
    <x:tableColumn id="1" name="Copy ID"/>
    <x:tableColumn id="2" name="Scope"/>
    <x:tableColumn id="3" name="Release Slug"/>
    <x:tableColumn id="4" name="Track #"/>
    <x:tableColumn id="5" name="Placement"/>
    <x:tableColumn id="6" name="Suggested Copy"/>
    <x:tableColumn id="7" name="Tone / Positioning"/>
    <x:tableColumn id="8" name="Claim Sensitivity"/>
    <x:tableColumn id="9" name="Source Notes"/>
  </x:tableColumns>
  <x:tableStyleInfo name="TableStyleMedium2" showRowStripes="1"/>
</x:table>
</file>

<file path=xl/tables/table4.xml><?xml version="1.0" encoding="utf-8"?>
<x:table xmlns:x="http://schemas.openxmlformats.org/spreadsheetml/2006/main" id="4" name="PlatformNotesTable" displayName="PlatformNotesTable" ref="A1:H9" headerRowCount="1">
  <x:tableColumns count="8">
    <x:tableColumn id="1" name="Release Slug"/>
    <x:tableColumn id="2" name="Release Title"/>
    <x:tableColumn id="3" name="Release Date"/>
    <x:tableColumn id="4" name="Smart Link / Pre-save"/>
    <x:tableColumn id="5" name="Listening Link"/>
    <x:tableColumn id="6" name="Key DSP Availability / Notes"/>
    <x:tableColumn id="7" name="Link Research Needed?"/>
    <x:tableColumn id="8" name="Website Link Guidance"/>
  </x:tableColumns>
  <x:tableStyleInfo name="TableStyleMedium2" showRowStripes="1"/>
</x:table>
</file>

<file path=xl/tables/table5.xml><?xml version="1.0" encoding="utf-8"?>
<x:table xmlns:x="http://schemas.openxmlformats.org/spreadsheetml/2006/main" id="5" name="CMGSourceTable" displayName="CMGSourceTable" ref="A1:P27" headerRowCount="1">
  <x:tableColumns count="16">
    <x:tableColumn id="1" name="Release Title"/>
    <x:tableColumn id="2" name="Release Date"/>
    <x:tableColumn id="3" name="Track #"/>
    <x:tableColumn id="4" name="Track Artists Name"/>
    <x:tableColumn id="5" name="Track Title"/>
    <x:tableColumn id="6" name="Has this track been previously distributed by us? If so please add the original ISRC and skip all other questions for this track"/>
    <x:tableColumn id="7" name="Genre"/>
    <x:tableColumn id="8" name="60 second Tiktok Timestamp"/>
    <x:tableColumn id="9" name="Publisher (Publishing Company name and PRO)"/>
    <x:tableColumn id="10" name="Copyright Holder"/>
    <x:tableColumn id="11" name="Language"/>
    <x:tableColumn id="12" name="Is this track explicit?"/>
    <x:tableColumn id="13" name="Producers"/>
    <x:tableColumn id="14" name="Lyricists"/>
    <x:tableColumn id="15" name="Master Splits"/>
    <x:tableColumn id="16" name="Source"/>
  </x:tableColumns>
  <x:tableStyleInfo name="TableStyleMedium2" showRowStripes="1"/>
</x:table>
</file>

<file path=xl/tables/table6.xml><?xml version="1.0" encoding="utf-8"?>
<x:table xmlns:x="http://schemas.openxmlformats.org/spreadsheetml/2006/main" id="6" name="IgnoredFieldsTable" displayName="IgnoredFieldsTable" ref="A1:C11" headerRowCount="1">
  <x:tableColumns count="3">
    <x:tableColumn id="1" name="Field / Source Content"/>
    <x:tableColumn id="2" name="Treatment"/>
    <x:tableColumn id="3" name="Reason"/>
  </x:tableColumns>
  <x:tableStyleInfo name="TableStyleMedium2" showRowStripes="1"/>
</x:table>
</file>

<file path=xl/tables/table7.xml><?xml version="1.0" encoding="utf-8"?>
<x:table xmlns:x="http://schemas.openxmlformats.org/spreadsheetml/2006/main" id="7" name="DataDictionaryTable" displayName="DataDictionaryTable" ref="A1:D17" headerRowCount="1">
  <x:tableColumns count="4">
    <x:tableColumn id="1" name="Sheet"/>
    <x:tableColumn id="2" name="Column / Field"/>
    <x:tableColumn id="3" name="Meaning"/>
    <x:tableColumn id="4" name="Website / Codex Usag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f9c37769544a427a" /></Relationships>
</file>

<file path=xl/worksheets/_rels/sheet3.xml.rels>&#65279;<?xml version="1.0" encoding="utf-8"?><Relationships xmlns="http://schemas.openxmlformats.org/package/2006/relationships"><Relationship Type="http://schemas.openxmlformats.org/officeDocument/2006/relationships/table" Target="/xl/tables/table1.xml" Id="Rce3c83fb87c044de" /></Relationships>
</file>

<file path=xl/worksheets/_rels/sheet4.xml.rels>&#65279;<?xml version="1.0" encoding="utf-8"?><Relationships xmlns="http://schemas.openxmlformats.org/package/2006/relationships"><Relationship Type="http://schemas.openxmlformats.org/officeDocument/2006/relationships/table" Target="/xl/tables/table2.xml" Id="Rfa7345965cf744bb" /></Relationships>
</file>

<file path=xl/worksheets/_rels/sheet5.xml.rels>&#65279;<?xml version="1.0" encoding="utf-8"?><Relationships xmlns="http://schemas.openxmlformats.org/package/2006/relationships"><Relationship Type="http://schemas.openxmlformats.org/officeDocument/2006/relationships/table" Target="/xl/tables/table3.xml" Id="R703e5ee9b55444b8" /></Relationships>
</file>

<file path=xl/worksheets/_rels/sheet6.xml.rels>&#65279;<?xml version="1.0" encoding="utf-8"?><Relationships xmlns="http://schemas.openxmlformats.org/package/2006/relationships"><Relationship Type="http://schemas.openxmlformats.org/officeDocument/2006/relationships/table" Target="/xl/tables/table4.xml" Id="R5a36bb5382ae45c3" /></Relationships>
</file>

<file path=xl/worksheets/_rels/sheet7.xml.rels>&#65279;<?xml version="1.0" encoding="utf-8"?><Relationships xmlns="http://schemas.openxmlformats.org/package/2006/relationships"><Relationship Type="http://schemas.openxmlformats.org/officeDocument/2006/relationships/table" Target="/xl/tables/table5.xml" Id="R2a2f33e6e16e46aa" /></Relationships>
</file>

<file path=xl/worksheets/_rels/sheet8.xml.rels>&#65279;<?xml version="1.0" encoding="utf-8"?><Relationships xmlns="http://schemas.openxmlformats.org/package/2006/relationships"><Relationship Type="http://schemas.openxmlformats.org/officeDocument/2006/relationships/table" Target="/xl/tables/table6.xml" Id="R59e8a52d3c394bf9" /></Relationships>
</file>

<file path=xl/worksheets/_rels/sheet9.xml.rels>&#65279;<?xml version="1.0" encoding="utf-8"?><Relationships xmlns="http://schemas.openxmlformats.org/package/2006/relationships"><Relationship Type="http://schemas.openxmlformats.org/officeDocument/2006/relationships/table" Target="/xl/tables/table7.xml" Id="R4d40816518b04e36" /></Relationships>
</file>

<file path=xl/worksheets/sheet1.xml><?xml version="1.0" encoding="utf-8"?>
<x:worksheet xmlns:x="http://schemas.openxmlformats.org/spreadsheetml/2006/main">
  <x:sheetFormatPr defaultRowHeight="15"/>
  <x:cols>
    <x:col min="1" max="1" width="28" hidden="0" customWidth="1"/>
    <x:col min="2" max="2" width="110" hidden="0" customWidth="1"/>
  </x:cols>
  <x:sheetData>
    <x:row r="1" ht="32" customHeight="1">
      <x:c r="A1" s="58" t="str">
        <x:v>Broey. Website Release Metadata Registry</x:v>
      </x:c>
      <x:c r="B1" s="58"/>
    </x:row>
    <x:row r="2">
      <x:c r="A2" s="38" t="str"/>
      <x:c r="B2" s="38"/>
    </x:row>
    <x:row r="3" ht="44" customHeight="1">
      <x:c r="A3" s="39" t="str">
        <x:v>Purpose</x:v>
      </x:c>
      <x:c r="B3" s="38" t="str">
        <x:v>This workbook normalizes the pasted release metadata, uploaded CMG release sheets, and Label Engine confirmations into a website-oriented registry.</x:v>
      </x:c>
    </x:row>
    <x:row r="4" ht="44" customHeight="1">
      <x:c r="A4" s="39" t="str">
        <x:v>How to use</x:v>
      </x:c>
      <x:c r="B4" s="38" t="str">
        <x:v>Use Release Registry for one row per release, Track Registry for track-level data, Website Copy for clean public copy, and Platform Notes for smartlink/direct-link follow-up.</x:v>
      </x:c>
    </x:row>
    <x:row r="5" ht="44" customHeight="1">
      <x:c r="A5" s="39" t="str">
        <x:v>Source priority</x:v>
      </x:c>
      <x:c r="B5" s="38" t="str">
        <x:v>1) Label Engine distribution confirmations; 2) uploaded CMG release sheets; 3) pasted SFA/marketing/submission copy.</x:v>
      </x:c>
    </x:row>
    <x:row r="6" ht="44" customHeight="1">
      <x:c r="A6" s="39" t="str">
        <x:v>Deduping</x:v>
      </x:c>
      <x:c r="B6" s="38" t="str">
        <x:v>Repeated Fragments SFA copy was deduped. Long distributor store lists were condensed because the website needs direct key links, not every outlet row.</x:v>
      </x:c>
    </x:row>
    <x:row r="7" ht="44" customHeight="1">
      <x:c r="A7" s="39" t="str">
        <x:v>Caveats</x:v>
      </x:c>
      <x:c r="B7" s="38" t="str">
        <x:v>Rows marked Copy Needed need fuller creative narrative/artwork context before being treated as fully polished. Direct platform links still need collection for rows marked Link Research Needed. Claims about Audius/Beatport/press should be verified before prominent public use.</x:v>
      </x:c>
    </x:row>
    <x:row r="8" ht="44" customHeight="1">
      <x:c r="A8" s="39" t="str">
        <x:v>Official title note</x:v>
      </x:c>
      <x:c r="B8" s="38" t="str">
        <x:v>Use STEREO LUV as the official title; the submission narrative also used “Stereo Love.”</x:v>
      </x:c>
    </x:row>
    <x:row r="9" ht="44" customHeight="1">
      <x:c r="A9" s="39" t="str">
        <x:v>Fragments Remixes note</x:v>
      </x:c>
      <x:c r="B9" s="38" t="str">
        <x:v>Use BROE004 / UPC 723277501079 as canonical. Alternate Spotify/delivery confirmation BROE004S / UPC 723277501116 is preserved in notes.</x:v>
      </x:c>
    </x:row>
    <x:row r="10" ht="44" customHeight="1">
      <x:c r="A10" s="39" t="str">
        <x:v>Generated</x:v>
      </x:c>
      <x:c r="B10" s="38" t="str">
        <x:v>2026-06-23</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18" hidden="0" customWidth="1"/>
    <x:col min="4" max="4" width="28" hidden="0" customWidth="1"/>
    <x:col min="5" max="5" width="16" hidden="0" customWidth="1"/>
    <x:col min="6" max="6" width="16" hidden="0" customWidth="1"/>
  </x:cols>
  <x:sheetData>
    <x:row r="1" ht="32" customHeight="1">
      <x:c r="A1" s="58" t="str">
        <x:v>Broey. Website Release Metadata Registry</x:v>
      </x:c>
      <x:c r="B1" s="58" t="str"/>
      <x:c r="C1" s="58" t="str"/>
      <x:c r="D1" s="58" t="str"/>
      <x:c r="E1" s="58" t="str"/>
      <x:c r="F1" s="58" t="str"/>
      <x:c r="G1" s="58" t="str"/>
    </x:row>
    <x:row r="2">
      <x:c r="A2" s="38" t="str">
        <x:v>Generated</x:v>
      </x:c>
      <x:c r="B2" s="50" t="n">
        <x:v>46196</x:v>
      </x:c>
      <x:c r="C2" s="38" t="str"/>
      <x:c r="D2" s="38" t="str"/>
      <x:c r="E2" s="38" t="str"/>
      <x:c r="F2" s="38" t="str"/>
      <x:c r="G2" s="38" t="str"/>
    </x:row>
    <x:row r="3">
      <x:c r="A3" s="38" t="str">
        <x:v>Purpose</x:v>
      </x:c>
      <x:c r="B3" s="50" t="str">
        <x:v>Normalized Excel guidance for updating website release data, release pages, tracklists, and copy.</x:v>
      </x:c>
      <x:c r="C3" s="38" t="str"/>
      <x:c r="D3" s="38" t="str"/>
      <x:c r="E3" s="38" t="str"/>
      <x:c r="F3" s="38" t="str"/>
      <x:c r="G3" s="38" t="str"/>
    </x:row>
    <x:row r="4">
      <x:c r="A4" s="38" t="str"/>
      <x:c r="B4" s="50" t="str"/>
      <x:c r="C4" s="38" t="str"/>
      <x:c r="D4" s="38" t="str"/>
      <x:c r="E4" s="38" t="str"/>
      <x:c r="F4" s="38" t="str"/>
      <x:c r="G4" s="38" t="str"/>
    </x:row>
    <x:row r="5">
      <x:c r="A5" s="51" t="str">
        <x:v>Metric</x:v>
      </x:c>
      <x:c r="B5" s="62" t="str">
        <x:v>Value</x:v>
      </x:c>
      <x:c r="C5" s="38" t="str"/>
      <x:c r="D5" s="51" t="str">
        <x:v>Release Counts by Year</x:v>
      </x:c>
      <x:c r="E5" s="51" t="str">
        <x:v>Year</x:v>
      </x:c>
      <x:c r="F5" s="62" t="str">
        <x:v>Count</x:v>
      </x:c>
      <x:c r="G5" s="38" t="str"/>
    </x:row>
    <x:row r="6">
      <x:c r="A6" s="38" t="str">
        <x:v>Releases</x:v>
      </x:c>
      <x:c r="B6" s="63" t="n">
        <x:f>COUNTA('Release Registry'!$D$2:$D$100)</x:f>
        <x:v>8</x:v>
      </x:c>
      <x:c r="C6" s="38" t="str"/>
      <x:c r="D6" s="38" t="str"/>
      <x:c r="E6" s="38" t="n">
        <x:v>2024</x:v>
      </x:c>
      <x:c r="F6" s="63" t="n">
        <x:f>COUNTIF('Release Registry'!$H$2:$H$100,E6)</x:f>
        <x:v>4</x:v>
      </x:c>
      <x:c r="G6" s="38" t="str"/>
    </x:row>
    <x:row r="7">
      <x:c r="A7" s="38" t="str">
        <x:v>Tracks</x:v>
      </x:c>
      <x:c r="B7" s="63" t="n">
        <x:f>COUNTA('Track Registry'!$F$2:$F$500)</x:f>
        <x:v>26</x:v>
      </x:c>
      <x:c r="C7" s="38" t="str"/>
      <x:c r="D7" s="38" t="str"/>
      <x:c r="E7" s="38" t="n">
        <x:v>2025</x:v>
      </x:c>
      <x:c r="F7" s="63" t="n">
        <x:f>COUNTIF('Release Registry'!$H$2:$H$100,E7)</x:f>
        <x:v>3</x:v>
      </x:c>
      <x:c r="G7" s="38" t="str"/>
    </x:row>
    <x:row r="8">
      <x:c r="A8" s="38" t="str">
        <x:v>Verified releases</x:v>
      </x:c>
      <x:c r="B8" s="63" t="n">
        <x:v>7</x:v>
      </x:c>
      <x:c r="C8" s="38" t="str"/>
      <x:c r="D8" s="38" t="str"/>
      <x:c r="E8" s="38" t="n">
        <x:v>2026</x:v>
      </x:c>
      <x:c r="F8" s="63" t="n">
        <x:f>COUNTIF('Release Registry'!$H$2:$H$100,E8)</x:f>
        <x:v>1</x:v>
      </x:c>
      <x:c r="G8" s="38" t="str"/>
    </x:row>
    <x:row r="9">
      <x:c r="A9" s="38" t="str">
        <x:v>Needs copy / partial</x:v>
      </x:c>
      <x:c r="B9" s="63" t="n">
        <x:v>1</x:v>
      </x:c>
      <x:c r="C9" s="38" t="str"/>
      <x:c r="D9" s="38" t="str"/>
      <x:c r="E9" s="38" t="str"/>
      <x:c r="F9" s="38" t="str"/>
      <x:c r="G9" s="38" t="str"/>
    </x:row>
    <x:row r="10">
      <x:c r="A10" s="38" t="str"/>
      <x:c r="B10" s="63" t="str"/>
      <x:c r="C10" s="38" t="str"/>
      <x:c r="D10" s="38" t="str"/>
      <x:c r="E10" s="38" t="str"/>
      <x:c r="F10" s="38" t="str"/>
      <x:c r="G10" s="38" t="str"/>
    </x:row>
    <x:row r="11">
      <x:c r="A11" s="51" t="str">
        <x:v>Release Type</x:v>
      </x:c>
      <x:c r="B11" s="62" t="str">
        <x:v>Count</x:v>
      </x:c>
      <x:c r="C11" s="38" t="str"/>
      <x:c r="D11" s="51" t="str">
        <x:v>Implementation Priorities</x:v>
      </x:c>
      <x:c r="E11" s="51" t="str"/>
      <x:c r="F11" s="51" t="str"/>
      <x:c r="G11" s="38" t="str"/>
    </x:row>
    <x:row r="12">
      <x:c r="A12" s="38" t="str">
        <x:v>EP</x:v>
      </x:c>
      <x:c r="B12" s="63" t="n">
        <x:f>COUNTIF('Release Registry'!$F$2:$F$100,"EP")</x:f>
        <x:v>4</x:v>
      </x:c>
      <x:c r="C12" s="38" t="str"/>
      <x:c r="D12" s="38" t="str">
        <x:v>1</x:v>
      </x:c>
      <x:c r="E12" s="38" t="str">
        <x:v>Add fuller narrative/artwork/platform details for blu. and any future copy-partial rows.</x:v>
      </x:c>
      <x:c r="F12" s="38"/>
      <x:c r="G12" s="38" t="str"/>
    </x:row>
    <x:row r="13">
      <x:c r="A13" s="38" t="str">
        <x:v>Single</x:v>
      </x:c>
      <x:c r="B13" s="63" t="n">
        <x:f>COUNTIF('Release Registry'!$F$2:$F$100,"Single")</x:f>
        <x:v>4</x:v>
      </x:c>
      <x:c r="C13" s="38" t="str"/>
      <x:c r="D13" s="38" t="str">
        <x:v>2</x:v>
      </x:c>
      <x:c r="E13" s="38" t="str">
        <x:v>Research direct DSP/platform links for all rows marked Link Research Needed.</x:v>
      </x:c>
      <x:c r="F13" s="38"/>
      <x:c r="G13" s="38" t="str"/>
    </x:row>
    <x:row r="14">
      <x:c r="A14" s="38" t="str"/>
      <x:c r="B14" s="63" t="str"/>
      <x:c r="C14" s="38" t="str"/>
      <x:c r="D14" s="38" t="str">
        <x:v>3</x:v>
      </x:c>
      <x:c r="E14" s="38" t="str">
        <x:v>Use Website Copy for page/card/SEO copy; do not publish internal notes verbatim.</x:v>
      </x:c>
      <x:c r="F14" s="38"/>
      <x:c r="G14" s="38" t="str"/>
    </x:row>
  </x:sheetData>
  <x:mergeCells>
    <x:mergeCell ref="A1:G1"/>
  </x:mergeCells>
  <x:pageMargins left="0.7" right="0.7" top="0.75" bottom="0.75" header="0.3" footer="0.3"/>
  <x:drawing xmlns:r="http://schemas.openxmlformats.org/officeDocument/2006/relationships" r:id="Rf9c37769544a427a"/>
</x:worksheet>
</file>

<file path=xl/worksheets/sheet3.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24" hidden="0" customWidth="1"/>
    <x:col min="6" max="6" width="14" hidden="0" customWidth="1"/>
    <x:col min="7" max="7" width="14" hidden="0" customWidth="1"/>
    <x:col min="8" max="8" width="10" hidden="0" customWidth="1"/>
    <x:col min="9" max="9" width="14" hidden="0" customWidth="1"/>
    <x:col min="10" max="10" width="24" hidden="0" customWidth="1"/>
    <x:col min="11" max="11" width="14" hidden="0" customWidth="1"/>
    <x:col min="12" max="12" width="16" hidden="0" customWidth="1"/>
    <x:col min="13" max="13" width="34" hidden="0" customWidth="1"/>
    <x:col min="14" max="14" width="24" hidden="0" customWidth="1"/>
    <x:col min="15" max="15" width="34" hidden="0" customWidth="1"/>
    <x:col min="16" max="16" width="24" hidden="0" customWidth="1"/>
    <x:col min="17" max="17" width="28" hidden="0" customWidth="1"/>
    <x:col min="18" max="18" width="24" hidden="0" customWidth="1"/>
    <x:col min="19" max="19" width="24" hidden="0" customWidth="1"/>
    <x:col min="20" max="20" width="10" hidden="0" customWidth="1"/>
    <x:col min="21" max="21" width="12" hidden="0" customWidth="1"/>
    <x:col min="22" max="22" width="38" hidden="0" customWidth="1"/>
    <x:col min="23" max="23" width="38" hidden="0" customWidth="1"/>
    <x:col min="24" max="24" width="38" hidden="0" customWidth="1"/>
    <x:col min="25" max="25" width="38" hidden="0" customWidth="1"/>
    <x:col min="26" max="26" width="34" hidden="0" customWidth="1"/>
    <x:col min="27" max="27" width="48" hidden="0" customWidth="1"/>
    <x:col min="28" max="28" width="60" hidden="0" customWidth="1"/>
    <x:col min="29" max="29" width="54" hidden="0" customWidth="1"/>
    <x:col min="30" max="30" width="28" hidden="0" customWidth="1"/>
    <x:col min="31" max="31" width="42" hidden="0" customWidth="1"/>
  </x:cols>
  <x:sheetData>
    <x:row r="1" ht="42" customHeight="1">
      <x:c r="A1" s="37" t="str">
        <x:v>Publish Status</x:v>
      </x:c>
      <x:c r="B1" s="37" t="str">
        <x:v>Website Slug</x:v>
      </x:c>
      <x:c r="C1" s="37" t="str">
        <x:v>Website Route</x:v>
      </x:c>
      <x:c r="D1" s="37" t="str">
        <x:v>Release Title</x:v>
      </x:c>
      <x:c r="E1" s="37" t="str">
        <x:v>Display Artist(s)</x:v>
      </x:c>
      <x:c r="F1" s="37" t="str">
        <x:v>Release Type</x:v>
      </x:c>
      <x:c r="G1" s="37" t="str">
        <x:v>Release Date</x:v>
      </x:c>
      <x:c r="H1" s="37" t="str">
        <x:v>Year</x:v>
      </x:c>
      <x:c r="I1" s="37" t="str">
        <x:v>Pre-order Date</x:v>
      </x:c>
      <x:c r="J1" s="37" t="str">
        <x:v>Label</x:v>
      </x:c>
      <x:c r="K1" s="37" t="str">
        <x:v>Catalog Number</x:v>
      </x:c>
      <x:c r="L1" s="37" t="str">
        <x:v>UPC</x:v>
      </x:c>
      <x:c r="M1" s="37" t="str">
        <x:v>Alternate Catalog / UPC Notes</x:v>
      </x:c>
      <x:c r="N1" s="37" t="str">
        <x:v>Focus Track</x:v>
      </x:c>
      <x:c r="O1" s="37" t="str">
        <x:v>Primary Genre(s)</x:v>
      </x:c>
      <x:c r="P1" s="37" t="str">
        <x:v>Mood / Energy</x:v>
      </x:c>
      <x:c r="Q1" s="37" t="str">
        <x:v>Origin / Based</x:v>
      </x:c>
      <x:c r="R1" s="37" t="str">
        <x:v>P Line</x:v>
      </x:c>
      <x:c r="S1" s="37" t="str">
        <x:v>C Line</x:v>
      </x:c>
      <x:c r="T1" s="37" t="str">
        <x:v>Explicit</x:v>
      </x:c>
      <x:c r="U1" s="37" t="str">
        <x:v>Language</x:v>
      </x:c>
      <x:c r="V1" s="37" t="str">
        <x:v>Pre-save / Smart Link</x:v>
      </x:c>
      <x:c r="W1" s="37" t="str">
        <x:v>Listening Link / Private Link</x:v>
      </x:c>
      <x:c r="X1" s="37" t="str">
        <x:v>Press Photo Link</x:v>
      </x:c>
      <x:c r="Y1" s="37" t="str">
        <x:v>EPK Link</x:v>
      </x:c>
      <x:c r="Z1" s="37" t="str">
        <x:v>Target Markets</x:v>
      </x:c>
      <x:c r="AA1" s="37" t="str">
        <x:v>Website Summary</x:v>
      </x:c>
      <x:c r="AB1" s="37" t="str">
        <x:v>Long Description / Source Story</x:v>
      </x:c>
      <x:c r="AC1" s="37" t="str">
        <x:v>Website Guidance / Notes</x:v>
      </x:c>
      <x:c r="AD1" s="37" t="str">
        <x:v>Data Confidence</x:v>
      </x:c>
      <x:c r="AE1" s="37" t="str">
        <x:v>Source</x:v>
      </x:c>
    </x:row>
    <x:row r="2" ht="54" customHeight="1">
      <x:c r="A2" s="38" t="str">
        <x:v>Public / Verified</x:v>
      </x:c>
      <x:c r="B2" s="38" t="str">
        <x:v>fragments</x:v>
      </x:c>
      <x:c r="C2" s="38" t="str">
        <x:v>/music/fragments</x:v>
      </x:c>
      <x:c r="D2" s="38" t="str">
        <x:v>Fragments</x:v>
      </x:c>
      <x:c r="E2" s="38" t="str">
        <x:v>Broey.</x:v>
      </x:c>
      <x:c r="F2" s="38" t="str">
        <x:v>EP</x:v>
      </x:c>
      <x:c r="G2" s="50" t="n">
        <x:v>45380</x:v>
      </x:c>
      <x:c r="H2" s="38" t="n">
        <x:v>2024</x:v>
      </x:c>
      <x:c r="I2" s="50" t="n">
        <x:v>45352</x:v>
      </x:c>
      <x:c r="J2" s="38" t="str">
        <x:v>Broey.</x:v>
      </x:c>
      <x:c r="K2" s="38" t="str">
        <x:v>BROE001</x:v>
      </x:c>
      <x:c r="L2" s="38" t="str">
        <x:v>723277370484</x:v>
      </x:c>
      <x:c r="M2" s="38" t="str"/>
      <x:c r="N2" s="38" t="str">
        <x:v>Like That / Numbers</x:v>
      </x:c>
      <x:c r="O2" s="38" t="str">
        <x:v>Dance; House; Electronic; Dance / Electro Pop</x:v>
      </x:c>
      <x:c r="P2" s="38" t="str">
        <x:v>Energetic; Fierce</x:v>
      </x:c>
      <x:c r="Q2" s="38" t="str">
        <x:v>Scranton, PA USA</x:v>
      </x:c>
      <x:c r="R2" s="38" t="str">
        <x:v>Broey. / Create Music Group Inc.</x:v>
      </x:c>
      <x:c r="S2" s="38" t="str">
        <x:v>Broey. / Create Music Group Inc.</x:v>
      </x:c>
      <x:c r="T2" s="38" t="str">
        <x:v>No</x:v>
      </x:c>
      <x:c r="U2" s="38" t="str">
        <x:v>English</x:v>
      </x:c>
      <x:c r="V2" s="38" t="str">
        <x:v>https://createmusic.fm/fragments</x:v>
      </x:c>
      <x:c r="W2" s="38" t="str"/>
      <x:c r="X2" s="38" t="str">
        <x:v>https://drive.google.com/drive/folders/1moSVMsE8_mwGf1kDp_9P_5fDPeE49Vhc?usp=sharing</x:v>
      </x:c>
      <x:c r="Y2" s="38" t="str">
        <x:v>https://drive.google.com/drive/folders/1okTGk9-cbFXbFfOPBOEvqZvVlnhLcE0t?usp=sharing</x:v>
      </x:c>
      <x:c r="Z2" s="38" t="str">
        <x:v>Worldwide</x:v>
      </x:c>
      <x:c r="AA2" s="38" t="str">
        <x:v>Broey.’s dance-focused EP: a set of house-leaning electronic tracks built from club energy, personal snapshots, and genre-crossing fragments of influence.</x:v>
      </x:c>
      <x:c r="AB2" s="38" t="str">
        <x:v>Fragments is an electronic dance EP built around the energy that first pulled Broey. into dance music. It blends classic house, electro-pop and broader club influences into a personal collection of tracks that move between euphoria, reflection and momentum.</x:v>
      </x:c>
      <x:c r="AC2" s="38" t="str">
        <x:v>Use as an anchor release for the dance-era catalog. Emphasize the transition into energetic house/electronic material, visualizers, and the remix-contest/remix-companion context. Duplicate SFA copy was deduped.</x:v>
      </x:c>
      <x:c r="AD2" s="38" t="str">
        <x:v>Confirmed</x:v>
      </x:c>
      <x:c r="AE2" s="38" t="str">
        <x:v>Label Engine distribution confirmation + uploaded CMG release sheet + pasted SFA copy</x:v>
      </x:c>
    </x:row>
    <x:row r="3" ht="54" customHeight="1">
      <x:c r="A3" s="38" t="str">
        <x:v>Public / Verified</x:v>
      </x:c>
      <x:c r="B3" s="38" t="str">
        <x:v>fragments-remixes</x:v>
      </x:c>
      <x:c r="C3" s="38" t="str">
        <x:v>/music/fragments-remixes</x:v>
      </x:c>
      <x:c r="D3" s="38" t="str">
        <x:v>Fragments (Remixes)</x:v>
      </x:c>
      <x:c r="E3" s="38" t="str">
        <x:v>Broey.</x:v>
      </x:c>
      <x:c r="F3" s="38" t="str">
        <x:v>EP</x:v>
      </x:c>
      <x:c r="G3" s="50" t="n">
        <x:v>45422</x:v>
      </x:c>
      <x:c r="H3" s="38" t="n">
        <x:v>2024</x:v>
      </x:c>
      <x:c r="I3" s="50"/>
      <x:c r="J3" s="38" t="str">
        <x:v>Broey.</x:v>
      </x:c>
      <x:c r="K3" s="38" t="str">
        <x:v>BROE004</x:v>
      </x:c>
      <x:c r="L3" s="38" t="str">
        <x:v>723277501079</x:v>
      </x:c>
      <x:c r="M3" s="38" t="str">
        <x:v>Alternate Spotify/delivery confirmation: BROE004S / UPC 723277501116</x:v>
      </x:c>
      <x:c r="N3" s="38" t="str">
        <x:v>Eyes On Me (dreamsuite Remix)</x:v>
      </x:c>
      <x:c r="O3" s="38" t="str">
        <x:v>Electronic; Dance; Garage; Bass House; Jungle; Dubstep; Trap; House</x:v>
      </x:c>
      <x:c r="P3" s="38" t="str">
        <x:v>Energetic</x:v>
      </x:c>
      <x:c r="Q3" s="38" t="str">
        <x:v>Scranton, PA USA</x:v>
      </x:c>
      <x:c r="R3" s="38" t="str">
        <x:v>Broey. / Create Music Group Inc.</x:v>
      </x:c>
      <x:c r="S3" s="38" t="str">
        <x:v>Broey. / Create Music Group Inc.</x:v>
      </x:c>
      <x:c r="T3" s="38" t="str">
        <x:v>No</x:v>
      </x:c>
      <x:c r="U3" s="38" t="str">
        <x:v>English</x:v>
      </x:c>
      <x:c r="V3" s="38" t="str">
        <x:v>https://createmusic.fm/fragments-remixes</x:v>
      </x:c>
      <x:c r="W3" s="38" t="str"/>
      <x:c r="X3" s="38" t="str">
        <x:v>https://drive.google.com/file/d/1brxq9osWM87bDYIKVYUx3HIaopnIQKTV/view?usp=sharing</x:v>
      </x:c>
      <x:c r="Y3" s="38" t="str">
        <x:v>https://drive.google.com/drive/folders/1okTGk9-cbFXbFfOPBOEvqZvVlnhLcE0t?usp=sharing</x:v>
      </x:c>
      <x:c r="Z3" s="38" t="str">
        <x:v>Australia; Canada; UK; Spain</x:v>
      </x:c>
      <x:c r="AA3" s="38" t="str">
        <x:v>A seven-track remix companion that reimagines Fragments through bass house, UK garage, jungle, dubstep, trap, wave and old-school house perspectives.</x:v>
      </x:c>
      <x:c r="AB3" s="38" t="str">
        <x:v>Fragments (Remixes) reframes the original EP as a collaborative remix project. Each contributor pushes a different part of the source material into a new lane, turning the project into a tour through underground electronic styles while keeping the spirit of Fragments intact.</x:v>
      </x:c>
      <x:c r="AC3" s="38" t="str">
        <x:v>Use to connect the original Fragments era with community/collaborator energy. Mention remixers by name and treat the alternate BROE004S/UPC as a distribution-note, not the canonical website ID.</x:v>
      </x:c>
      <x:c r="AD3" s="38" t="str">
        <x:v>Confirmed; alternate delivery identifier noted</x:v>
      </x:c>
      <x:c r="AE3" s="38" t="str">
        <x:v>Label Engine distribution confirmations + uploaded CMG release sheet + pasted SFA copy</x:v>
      </x:c>
    </x:row>
    <x:row r="4" ht="54" customHeight="1">
      <x:c r="A4" s="38" t="str">
        <x:v>Public / Verified</x:v>
      </x:c>
      <x:c r="B4" s="38" t="str">
        <x:v>4u</x:v>
      </x:c>
      <x:c r="C4" s="38" t="str">
        <x:v>/music/4u</x:v>
      </x:c>
      <x:c r="D4" s="38" t="str">
        <x:v>4u</x:v>
      </x:c>
      <x:c r="E4" s="38" t="str">
        <x:v>Broey., notminimal.</x:v>
      </x:c>
      <x:c r="F4" s="38" t="str">
        <x:v>Single</x:v>
      </x:c>
      <x:c r="G4" s="67" t="n">
        <x:v>45492</x:v>
      </x:c>
      <x:c r="H4" s="67" t="n">
        <x:v>2024</x:v>
      </x:c>
      <x:c r="I4" s="67" t="n">
        <x:v>45474</x:v>
      </x:c>
      <x:c r="J4" s="38" t="str">
        <x:v>Broey.</x:v>
      </x:c>
      <x:c r="K4" s="38" t="str">
        <x:v>BROE005</x:v>
      </x:c>
      <x:c r="L4" s="38" t="str">
        <x:v>723277599007</x:v>
      </x:c>
      <x:c r="M4" s="38"/>
      <x:c r="N4" s="38" t="str">
        <x:v>4u</x:v>
      </x:c>
      <x:c r="O4" s="38" t="str">
        <x:v>UK Garage / Bassline; House</x:v>
      </x:c>
      <x:c r="P4" s="38" t="str">
        <x:v>Energetic; Happy; Romantic</x:v>
      </x:c>
      <x:c r="Q4" s="38" t="str">
        <x:v>Scranton, PA USA / Milan, Italy</x:v>
      </x:c>
      <x:c r="R4" s="38" t="str">
        <x:v>Broey. &amp; notminimal. / Create Music Group Inc.</x:v>
      </x:c>
      <x:c r="S4" s="38" t="str">
        <x:v>Broey. &amp; notminimal. / Create Music Group Inc.</x:v>
      </x:c>
      <x:c r="T4" s="38" t="str">
        <x:v>No</x:v>
      </x:c>
      <x:c r="U4" s="38" t="str">
        <x:v>English</x:v>
      </x:c>
      <x:c r="V4" s="38"/>
      <x:c r="W4" s="38"/>
      <x:c r="X4" s="38" t="str">
        <x:v>https://drive.google.com/drive/folders/1moSVMsE8_mwGf1kDp_9P_5fDPeE49Vhc?usp=sharing</x:v>
      </x:c>
      <x:c r="Y4" s="38" t="str">
        <x:v>https://drive.google.com/drive/folders/1okTGk9-cbFXbFfOPBOEvqZvVlnhLcE0t?usp=sharing</x:v>
      </x:c>
      <x:c r="Z4" s="38" t="str">
        <x:v>Italy; UK; Australia; New Zealand</x:v>
      </x:c>
      <x:c r="AA4" s="38" t="str">
        <x:v>A bright UKG/bassline collaboration between Broey. and notminimal., built around shared energy, dancefloor momentum and cross-country creative chemistry.</x:v>
      </x:c>
      <x:c r="AB4" s="38" t="str">
        <x:v>4u came together through an organic collaboration between Broey. and notminimal. The track is less about a fixed narrative and more about the joy of two like-minded artists making something energetic, danceable and fun for the sake of the shared creative spark.</x:v>
      </x:c>
      <x:c r="AC4" s="38" t="str">
        <x:v>Use as the main Broey./notminimal. collaboration page. Good copy angles: cross-country collaboration, UKG/bassline momentum, and Beatport support around related Broey./notminimal. activity. Verify chart/co-sign claims before making them prominent.</x:v>
      </x:c>
      <x:c r="AD4" s="38" t="str">
        <x:v>Confirmed</x:v>
      </x:c>
      <x:c r="AE4" s="38" t="str">
        <x:v>Label Engine distribution confirmation + pasted release submission/SFA copy</x:v>
      </x:c>
    </x:row>
    <x:row r="5" ht="54" customHeight="1">
      <x:c r="A5" s="38" t="str">
        <x:v>Public / Verified</x:v>
      </x:c>
      <x:c r="B5" s="38" t="str">
        <x:v>mean-something</x:v>
      </x:c>
      <x:c r="C5" s="38" t="str">
        <x:v>/music/mean-something</x:v>
      </x:c>
      <x:c r="D5" s="38" t="str">
        <x:v>Mean Something</x:v>
      </x:c>
      <x:c r="E5" s="38" t="str">
        <x:v>Broey.</x:v>
      </x:c>
      <x:c r="F5" s="38" t="str">
        <x:v>Single</x:v>
      </x:c>
      <x:c r="G5" s="67" t="n">
        <x:v>45597</x:v>
      </x:c>
      <x:c r="H5" s="67" t="n">
        <x:v>2024</x:v>
      </x:c>
      <x:c r="I5" s="67"/>
      <x:c r="J5" s="38" t="str">
        <x:v>Broey.</x:v>
      </x:c>
      <x:c r="K5" s="38" t="str">
        <x:v>BROE006</x:v>
      </x:c>
      <x:c r="L5" s="38" t="str">
        <x:v>723277875101</x:v>
      </x:c>
      <x:c r="M5" s="38"/>
      <x:c r="N5" s="38" t="str">
        <x:v>Mean Something</x:v>
      </x:c>
      <x:c r="O5" s="38" t="str">
        <x:v>Alternative Electronic; Downtempo; Chillout</x:v>
      </x:c>
      <x:c r="P5" s="38" t="str">
        <x:v>Meditative; Chill; Happy</x:v>
      </x:c>
      <x:c r="Q5" s="38" t="str">
        <x:v>Scranton, PA USA</x:v>
      </x:c>
      <x:c r="R5" s="38" t="str">
        <x:v>Broey. / Create Music Group Inc.</x:v>
      </x:c>
      <x:c r="S5" s="38" t="str">
        <x:v>Broey. / Create Music Group Inc.</x:v>
      </x:c>
      <x:c r="T5" s="38" t="str">
        <x:v>No</x:v>
      </x:c>
      <x:c r="U5" s="38" t="str">
        <x:v>English</x:v>
      </x:c>
      <x:c r="V5" s="38"/>
      <x:c r="W5" s="38"/>
      <x:c r="X5" s="38" t="str">
        <x:v>https://drive.google.com/file/d/1brxq9osWM87bDYIKVYUx3HIaopnIQKTV/view?usp=sharing</x:v>
      </x:c>
      <x:c r="Y5" s="38" t="str">
        <x:v>https://drive.google.com/drive/folders/1okTGk9-cbFXbFfOPBOEvqZvVlnhLcE0t?usp=sharing</x:v>
      </x:c>
      <x:c r="Z5" s="38" t="str">
        <x:v>Worldwide</x:v>
      </x:c>
      <x:c r="AA5" s="38" t="str">
        <x:v>A reflective alternative electronic single built in a quick burst of inspiration, marking a more personal and chill-leaning direction for Broey.</x:v>
      </x:c>
      <x:c r="AB5" s="38" t="str">
        <x:v>Mean Something was created from a prompt to make something personal and true to Broey.’s artistic identity. The track came together quickly, following the music rather than overthinking it, and opens a softer, more reflective lane that still feels tied to the sounds that shaped the project.</x:v>
      </x:c>
      <x:c r="AC5" s="38" t="str">
        <x:v>Use for the chill/downtempo side of the catalog. Pair with copy about personal identity, creative exploration and the merch/artwork rollout if relevant.</x:v>
      </x:c>
      <x:c r="AD5" s="38" t="str">
        <x:v>Confirmed</x:v>
      </x:c>
      <x:c r="AE5" s="38" t="str">
        <x:v>Label Engine distribution confirmation + pasted release submission/SFA copy</x:v>
      </x:c>
    </x:row>
    <x:row r="6" ht="54" customHeight="1">
      <x:c r="A6" s="38" t="str">
        <x:v>Public / Verified</x:v>
      </x:c>
      <x:c r="B6" s="38" t="str">
        <x:v>i-cant-wait-for-love</x:v>
      </x:c>
      <x:c r="C6" s="38" t="str">
        <x:v>/music/i-cant-wait-for-love</x:v>
      </x:c>
      <x:c r="D6" s="38" t="str">
        <x:v>I Can't Wait For Love</x:v>
      </x:c>
      <x:c r="E6" s="38" t="str">
        <x:v>Broey., Broken Blythe</x:v>
      </x:c>
      <x:c r="F6" s="38" t="str">
        <x:v>Single</x:v>
      </x:c>
      <x:c r="G6" s="67" t="n">
        <x:v>45779</x:v>
      </x:c>
      <x:c r="H6" s="67" t="n">
        <x:v>2025</x:v>
      </x:c>
      <x:c r="I6" s="67"/>
      <x:c r="J6" s="38" t="str">
        <x:v>Broey.</x:v>
      </x:c>
      <x:c r="K6" s="38" t="str">
        <x:v>BROE007</x:v>
      </x:c>
      <x:c r="L6" s="38" t="str">
        <x:v>663918168486</x:v>
      </x:c>
      <x:c r="M6" s="38"/>
      <x:c r="N6" s="38" t="str">
        <x:v>I Can't Wait For Love</x:v>
      </x:c>
      <x:c r="O6" s="38" t="str">
        <x:v>Drum and Bass; Jungle; Breakbeat</x:v>
      </x:c>
      <x:c r="P6" s="38" t="str">
        <x:v>Energetic; Happy; Chill</x:v>
      </x:c>
      <x:c r="Q6" s="38" t="str">
        <x:v>Broey.: Scranton, PA USA</x:v>
      </x:c>
      <x:c r="R6" s="38" t="str">
        <x:v>Broey. &amp; Broken Blythe / Create Music Group Inc.</x:v>
      </x:c>
      <x:c r="S6" s="38" t="str">
        <x:v>Broey. &amp; Broken Blythe / Create Music Group Inc.</x:v>
      </x:c>
      <x:c r="T6" s="38" t="str">
        <x:v>No</x:v>
      </x:c>
      <x:c r="U6" s="38" t="str">
        <x:v>English</x:v>
      </x:c>
      <x:c r="V6" s="38" t="str">
        <x:v>https://createmusic.fm/icantwaitforlove</x:v>
      </x:c>
      <x:c r="W6" s="38" t="str">
        <x:v>https://label-engine.com/s/VJJoUAf3eOeIUTT1foaS8w</x:v>
      </x:c>
      <x:c r="X6" s="38"/>
      <x:c r="Y6" s="38"/>
      <x:c r="Z6" s="38" t="str">
        <x:v>UK; Australia; Italy; New Zealand; Canada; Germany; Netherlands</x:v>
      </x:c>
      <x:c r="AA6" s="38" t="str">
        <x:v>A vocal drum &amp; bass and jungle collaboration with Broken Blythe, grown from a Bitbird-inspired instrumental into a fan-supported release with early Audius momentum.</x:v>
      </x:c>
      <x:c r="AB6" s="38" t="str">
        <x:v>I Can't Wait For Love began as an instrumental for Bitbird’s Create Together Volume 5. After Broey. sent it to Broken Blythe, a full vocal came back within 48 hours, turning the sketch into the pair’s first official release after years of creative connection.</x:v>
      </x:c>
      <x:c r="AC6" s="38" t="str">
        <x:v>Good fit for forward-thinking electronic, minimal drum &amp; bass, jungle, gaming, workout and late-night listening contexts. The Audius nearly-20k-streams/#1-trending claim is user-provided; verify before prominent public use.</x:v>
      </x:c>
      <x:c r="AD6" s="38" t="str">
        <x:v>Confirmed</x:v>
      </x:c>
      <x:c r="AE6" s="38" t="str">
        <x:v>Label Engine distribution confirmation + pasted release submission/SFA copy</x:v>
      </x:c>
    </x:row>
    <x:row r="7" ht="54" customHeight="1">
      <x:c r="A7" s="38" t="str">
        <x:v>Public / Verified</x:v>
      </x:c>
      <x:c r="B7" s="38" t="str">
        <x:v>dancing-dumpster-fire</x:v>
      </x:c>
      <x:c r="C7" s="38" t="str">
        <x:v>/music/dancing-dumpster-fire</x:v>
      </x:c>
      <x:c r="D7" s="38" t="str">
        <x:v>dancing dumpster fire</x:v>
      </x:c>
      <x:c r="E7" s="38" t="str">
        <x:v>Broey.</x:v>
      </x:c>
      <x:c r="F7" s="38" t="str">
        <x:v>EP</x:v>
      </x:c>
      <x:c r="G7" s="50" t="n">
        <x:v>45871</x:v>
      </x:c>
      <x:c r="H7" s="38" t="n">
        <x:v>2025</x:v>
      </x:c>
      <x:c r="I7" s="50"/>
      <x:c r="J7" s="38" t="str">
        <x:v>Broey.</x:v>
      </x:c>
      <x:c r="K7" s="38" t="str">
        <x:v>BROE008</x:v>
      </x:c>
      <x:c r="L7" s="38" t="str">
        <x:v>663918303047</x:v>
      </x:c>
      <x:c r="M7" s="38" t="str"/>
      <x:c r="N7" s="38" t="str">
        <x:v>shake!</x:v>
      </x:c>
      <x:c r="O7" s="38" t="str">
        <x:v>UKG; UK Garage / Bassline; Trance; Speed House</x:v>
      </x:c>
      <x:c r="P7" s="38" t="str">
        <x:v>Energetic; Chill</x:v>
      </x:c>
      <x:c r="Q7" s="38" t="str">
        <x:v>Scranton, PA USA</x:v>
      </x:c>
      <x:c r="R7" s="38" t="str">
        <x:v>Broey. / Create Music Group Inc.</x:v>
      </x:c>
      <x:c r="S7" s="38" t="str">
        <x:v>Broey. / Create Music Group Inc.</x:v>
      </x:c>
      <x:c r="T7" s="38" t="str">
        <x:v>No</x:v>
      </x:c>
      <x:c r="U7" s="38" t="str">
        <x:v>English</x:v>
      </x:c>
      <x:c r="V7" s="38" t="str">
        <x:v>https://createmusic.fm/dancingdumpsterfire</x:v>
      </x:c>
      <x:c r="W7" s="38" t="str">
        <x:v>https://label-engine.com/s/SFK0X-wvHB31ytdfJBSw1Q</x:v>
      </x:c>
      <x:c r="X7" s="38" t="str"/>
      <x:c r="Y7" s="38" t="str"/>
      <x:c r="Z7" s="38" t="str">
        <x:v>United Kingdom; Canada; Australia; Germany; Netherlands</x:v>
      </x:c>
      <x:c r="AA7" s="38" t="str">
        <x:v>A chaotic, cathartic EP of raw club sketches — UKG, bassline, trance and speed-house textures made to move without over-polishing the moment.</x:v>
      </x:c>
      <x:c r="AB7" s="38" t="str">
        <x:v>dancing dumpster fire packages late-night, spontaneous tracks into a project that is intentionally messy in the best way. Built from UKG, bassline, trance and club textures, it is about feeling something quickly and dancing through the wreckage instead of sanding every edge down.</x:v>
      </x:c>
      <x:c r="AC7" s="38" t="str">
        <x:v>Use as the chaotic/fun post-Fragments club project. Focus track is shake!, with 4u vip as a strong catalog bridge. Good angles: raw snapshots, memes, Discord/Audius community, fan-in-the-process rollout.</x:v>
      </x:c>
      <x:c r="AD7" s="38" t="str">
        <x:v>Confirmed</x:v>
      </x:c>
      <x:c r="AE7" s="38" t="str">
        <x:v>Label Engine distribution confirmation + uploaded CMG release sheet + pasted SFA copy</x:v>
      </x:c>
    </x:row>
    <x:row r="8" ht="54" customHeight="1">
      <x:c r="A8" s="38" t="str">
        <x:v>Public / Verified</x:v>
      </x:c>
      <x:c r="B8" s="38" t="str">
        <x:v>stereo-luv</x:v>
      </x:c>
      <x:c r="C8" s="38" t="str">
        <x:v>/music/stereo-luv</x:v>
      </x:c>
      <x:c r="D8" s="38" t="str">
        <x:v>STEREO LUV</x:v>
      </x:c>
      <x:c r="E8" s="38" t="str">
        <x:v>Broey.</x:v>
      </x:c>
      <x:c r="F8" s="38" t="str">
        <x:v>Single</x:v>
      </x:c>
      <x:c r="G8" s="50" t="n">
        <x:v>45933</x:v>
      </x:c>
      <x:c r="H8" s="38" t="n">
        <x:v>2025</x:v>
      </x:c>
      <x:c r="I8" s="50"/>
      <x:c r="J8" s="38" t="str">
        <x:v>Broey.</x:v>
      </x:c>
      <x:c r="K8" s="38" t="str">
        <x:v>BROE009</x:v>
      </x:c>
      <x:c r="L8" s="38" t="str">
        <x:v>663918500507</x:v>
      </x:c>
      <x:c r="M8" s="38" t="str">
        <x:v>Submission narrative used “Stereo Love”; official confirmation uses STEREO LUV.</x:v>
      </x:c>
      <x:c r="N8" s="38" t="str">
        <x:v>STEREO LUV</x:v>
      </x:c>
      <x:c r="O8" s="38" t="str">
        <x:v>Deep House; Old School House; Tech House</x:v>
      </x:c>
      <x:c r="P8" s="38" t="str">
        <x:v>Meditative; Chill; Energetic</x:v>
      </x:c>
      <x:c r="Q8" s="38" t="str">
        <x:v>Scranton, PA USA</x:v>
      </x:c>
      <x:c r="R8" s="38" t="str">
        <x:v>Broey. / Create Music Group Inc.</x:v>
      </x:c>
      <x:c r="S8" s="38" t="str">
        <x:v>Broey. / Create Music Group Inc.</x:v>
      </x:c>
      <x:c r="T8" s="38" t="str">
        <x:v>No</x:v>
      </x:c>
      <x:c r="U8" s="38" t="str">
        <x:v>English</x:v>
      </x:c>
      <x:c r="V8" s="38" t="str">
        <x:v>https://createmusic.fm/stereoluv</x:v>
      </x:c>
      <x:c r="W8" s="38" t="str">
        <x:v>https://label-engine.com/s/bnieraupH74-tYPonQfzkg</x:v>
      </x:c>
      <x:c r="X8" s="38" t="str">
        <x:v>https://drive.google.com/drive/folders/1oxrxvBph9xkpDWrPeMFAf5U0WESCEw1k?usp=drive_link</x:v>
      </x:c>
      <x:c r="Y8" s="38" t="str">
        <x:v>https://drive.google.com/file/d/1mL9Kb06lBq3d-Ye1i-4OmPOcf05_-ZIw/view?usp=sharing</x:v>
      </x:c>
      <x:c r="Z8" s="38" t="str">
        <x:v>Canada; UK; Germany; Australia; New Zealand; Netherlands; Brazil; Ibiza; South Africa</x:v>
      </x:c>
      <x:c r="AA8" s="38" t="str">
        <x:v>A deep-house single inspired by Broey.’s newly tuned home studio, channeling dusty 90s warmth, analog tools and a wide stereo image.</x:v>
      </x:c>
      <x:c r="AB8" s="38" t="str">
        <x:v>STEREO LUV came together after Broey. treated and calibrated a new home studio space. The track uses drum machines, bass sequencing and samplers to chase a dusty 90s deep-house feel with a modern analog warmth and a noticeably wide stereo field.</x:v>
      </x:c>
      <x:c r="AC8" s="38" t="str">
        <x:v>Use uppercase STEREO LUV as the official title. Good placements: underground electronic, late-night listening, afterparty, deep-house/old-school house. Avoid changing title to “Stereo Love” except as internal note.</x:v>
      </x:c>
      <x:c r="AD8" s="38" t="str">
        <x:v>Confirmed</x:v>
      </x:c>
      <x:c r="AE8" s="38" t="str">
        <x:v>Label Engine distribution confirmation + pasted release submission/SFA copy</x:v>
      </x:c>
    </x:row>
    <x:row r="9" ht="54" customHeight="1">
      <x:c r="A9" s="38" t="str">
        <x:v>Public / Copy Needed</x:v>
      </x:c>
      <x:c r="B9" s="38" t="str">
        <x:v>blu</x:v>
      </x:c>
      <x:c r="C9" s="38" t="str">
        <x:v>/music/blu</x:v>
      </x:c>
      <x:c r="D9" s="38" t="str">
        <x:v>blu.</x:v>
      </x:c>
      <x:c r="E9" s="38" t="str">
        <x:v>Broey.</x:v>
      </x:c>
      <x:c r="F9" s="38" t="str">
        <x:v>EP</x:v>
      </x:c>
      <x:c r="G9" s="50" t="n">
        <x:v>46059</x:v>
      </x:c>
      <x:c r="H9" s="38" t="n">
        <x:v>2026</x:v>
      </x:c>
      <x:c r="I9" s="50"/>
      <x:c r="J9" s="38" t="str">
        <x:v>Broey.</x:v>
      </x:c>
      <x:c r="K9" s="38" t="str">
        <x:v>BROE010</x:v>
      </x:c>
      <x:c r="L9" s="38" t="str">
        <x:v>663918807880</x:v>
      </x:c>
      <x:c r="M9" s="38" t="str">
        <x:v>Two-track/version release: radio version + extended mix.</x:v>
      </x:c>
      <x:c r="N9" s="38" t="str">
        <x:v>blu. (radio version)</x:v>
      </x:c>
      <x:c r="O9" s="38" t="str">
        <x:v>Deep House</x:v>
      </x:c>
      <x:c r="P9" s="38" t="str"/>
      <x:c r="Q9" s="38" t="str"/>
      <x:c r="R9" s="38" t="str">
        <x:v>Broey. / Create Music Group Inc.</x:v>
      </x:c>
      <x:c r="S9" s="38" t="str">
        <x:v>Broey. / Create Music Group Inc.</x:v>
      </x:c>
      <x:c r="T9" s="38" t="str">
        <x:v>No</x:v>
      </x:c>
      <x:c r="U9" s="38" t="str">
        <x:v>English</x:v>
      </x:c>
      <x:c r="V9" s="38" t="str">
        <x:v>https://createmusic.fm/blu</x:v>
      </x:c>
      <x:c r="W9" s="38" t="str">
        <x:v>https://label-engine.com/s/m-9Du3I_Jw1btq4R66rhqw</x:v>
      </x:c>
      <x:c r="X9" s="38" t="str"/>
      <x:c r="Y9" s="38" t="str"/>
      <x:c r="Z9" s="38" t="str">
        <x:v>Worldwide</x:v>
      </x:c>
      <x:c r="AA9" s="38" t="str">
        <x:v>A two-version deep-house release built around radio and extended mixes of “blu.”, preserving both a concise edit and a longer club-facing arrangement.</x:v>
      </x:c>
      <x:c r="AB9" s="38" t="str">
        <x:v>blu. is a distribution-confirmed deep-house release with a radio version and an extended mix. The available metadata supports a concise website entry now; fuller artist narrative should be added when available.</x:v>
      </x:c>
      <x:c r="AC9" s="38" t="str">
        <x:v>Core distribution metadata is confirmed, but artist/story copy is thin. Use this as a clean placeholder page until a fuller creative note, artwork context or campaign description is available.</x:v>
      </x:c>
      <x:c r="AD9" s="38" t="str">
        <x:v>Confirmed core metadata; copy partial</x:v>
      </x:c>
      <x:c r="AE9" s="38" t="str">
        <x:v>Label Engine distribution confirmation</x:v>
      </x:c>
    </x:row>
  </x:sheetData>
  <x:conditionalFormatting sqref="A2:A100">
    <x:cfRule type="expression" dxfId="0" priority="1">
      <x:formula>ISNUMBER(SEARCH("Needs",A2))</x:formula>
    </x:cfRule>
  </x:conditionalFormatting>
  <x:conditionalFormatting sqref="AD2:AD100">
    <x:cfRule type="expression" dxfId="1" priority="2">
      <x:formula>LEFT(AD2,7)="Partial"</x:formula>
    </x:cfRule>
    <x:cfRule type="expression" dxfId="2" priority="3">
      <x:formula>LEFT(AD2,9)="Confirmed"</x:formula>
    </x:cfRule>
  </x:conditionalFormatting>
  <x:dataValidations count="2">
    <x:dataValidation type="list" sqref="A2:A100">
      <x:formula1>"Public / Verified,Public / Needs IDs,Public / Copy Needed,Draft,Hidden,Needs Review"</x:formula1>
    </x:dataValidation>
    <x:dataValidation type="list" sqref="F2:F100">
      <x:formula1>"Single,EP,Album,Remix,Compilation"</x:formula1>
    </x:dataValidation>
  </x:dataValidations>
  <x:pageMargins left="0.7" right="0.7" top="0.75" bottom="0.75" header="0.3" footer="0.3"/>
  <x:tableParts count="1">
    <x:tablePart xmlns:r="http://schemas.openxmlformats.org/officeDocument/2006/relationships" r:id="Rce3c83fb87c044de"/>
  </x:tableParts>
</x:worksheet>
</file>

<file path=xl/worksheets/sheet4.xml><?xml version="1.0" encoding="utf-8"?>
<x:worksheet xmlns:x="http://schemas.openxmlformats.org/spreadsheetml/2006/main">
  <x:sheetFormatPr defaultRowHeight="15"/>
  <x:cols>
    <x:col min="1" max="1" width="22" hidden="0" customWidth="1"/>
    <x:col min="2" max="2" width="24" hidden="0" customWidth="1"/>
    <x:col min="3" max="3" width="24" hidden="0" customWidth="1"/>
    <x:col min="4" max="4" width="14" hidden="0" customWidth="1"/>
    <x:col min="5" max="5" width="10" hidden="0" customWidth="1"/>
    <x:col min="6" max="6" width="32" hidden="0" customWidth="1"/>
    <x:col min="7" max="7" width="24" hidden="0" customWidth="1"/>
    <x:col min="8" max="8" width="22" hidden="0" customWidth="1"/>
    <x:col min="9" max="9" width="28" hidden="0" customWidth="1"/>
    <x:col min="10" max="10" width="28" hidden="0" customWidth="1"/>
    <x:col min="11" max="11" width="20" hidden="0" customWidth="1"/>
    <x:col min="12" max="12" width="22" hidden="0" customWidth="1"/>
    <x:col min="13" max="13" width="10" hidden="0" customWidth="1"/>
    <x:col min="14" max="14" width="16" hidden="0" customWidth="1"/>
    <x:col min="15" max="15" width="16" hidden="0" customWidth="1"/>
    <x:col min="16" max="16" width="22" hidden="0" customWidth="1"/>
    <x:col min="17" max="17" width="24" hidden="0" customWidth="1"/>
    <x:col min="18" max="18" width="18" hidden="0" customWidth="1"/>
    <x:col min="19" max="19" width="24" hidden="0" customWidth="1"/>
    <x:col min="20" max="20" width="34" hidden="0" customWidth="1"/>
    <x:col min="21" max="21" width="24" hidden="0" customWidth="1"/>
    <x:col min="22" max="22" width="24" hidden="0" customWidth="1"/>
    <x:col min="23" max="23" width="10" hidden="0" customWidth="1"/>
    <x:col min="24" max="24" width="10" hidden="0" customWidth="1"/>
    <x:col min="25" max="25" width="42" hidden="0" customWidth="1"/>
    <x:col min="26" max="26" width="26" hidden="0" customWidth="1"/>
    <x:col min="27" max="27" width="46" hidden="0" customWidth="1"/>
    <x:col min="28" max="28" width="24" hidden="0" customWidth="1"/>
    <x:col min="29" max="29" width="48" hidden="0" customWidth="1"/>
    <x:col min="30" max="30" width="52" hidden="0" customWidth="1"/>
    <x:col min="31" max="31" width="40" hidden="0" customWidth="1"/>
    <x:col min="32" max="32" width="28" hidden="0" customWidth="1"/>
  </x:cols>
  <x:sheetData>
    <x:row r="1" ht="42" customHeight="1">
      <x:c r="A1" s="37" t="str">
        <x:v>Release Slug</x:v>
      </x:c>
      <x:c r="B1" s="37" t="str">
        <x:v>Website Route</x:v>
      </x:c>
      <x:c r="C1" s="37" t="str">
        <x:v>Release Title</x:v>
      </x:c>
      <x:c r="D1" s="37" t="str">
        <x:v>Release Date</x:v>
      </x:c>
      <x:c r="E1" s="37" t="str">
        <x:v>Track #</x:v>
      </x:c>
      <x:c r="F1" s="37" t="str">
        <x:v>Track Display Title</x:v>
      </x:c>
      <x:c r="G1" s="37" t="str">
        <x:v>Base Track Title</x:v>
      </x:c>
      <x:c r="H1" s="37" t="str">
        <x:v>Track Mix / Version</x:v>
      </x:c>
      <x:c r="I1" s="37" t="str">
        <x:v>Display Artist(s)</x:v>
      </x:c>
      <x:c r="J1" s="37" t="str">
        <x:v>Artist List</x:v>
      </x:c>
      <x:c r="K1" s="37" t="str">
        <x:v>Remixer(s)</x:v>
      </x:c>
      <x:c r="L1" s="37" t="str">
        <x:v>Featured Artist(s)</x:v>
      </x:c>
      <x:c r="M1" s="37" t="str">
        <x:v>Duration</x:v>
      </x:c>
      <x:c r="N1" s="37" t="str">
        <x:v>ISRC</x:v>
      </x:c>
      <x:c r="O1" s="37" t="str">
        <x:v>Main Genre</x:v>
      </x:c>
      <x:c r="P1" s="37" t="str">
        <x:v>EDM Genre</x:v>
      </x:c>
      <x:c r="Q1" s="37" t="str">
        <x:v>Custom Genre / Style</x:v>
      </x:c>
      <x:c r="R1" s="37" t="str">
        <x:v>TikTok Timestamp</x:v>
      </x:c>
      <x:c r="S1" s="37" t="str">
        <x:v>Publisher</x:v>
      </x:c>
      <x:c r="T1" s="37" t="str">
        <x:v>Copyright Holder</x:v>
      </x:c>
      <x:c r="U1" s="37" t="str">
        <x:v>P Line</x:v>
      </x:c>
      <x:c r="V1" s="37" t="str">
        <x:v>C Line</x:v>
      </x:c>
      <x:c r="W1" s="37" t="str">
        <x:v>Explicit</x:v>
      </x:c>
      <x:c r="X1" s="37" t="str">
        <x:v>Cover?</x:v>
      </x:c>
      <x:c r="Y1" s="37" t="str">
        <x:v>Producer / Credits</x:v>
      </x:c>
      <x:c r="Z1" s="37" t="str">
        <x:v>Lyricist Credits</x:v>
      </x:c>
      <x:c r="AA1" s="37" t="str">
        <x:v>Songwriters</x:v>
      </x:c>
      <x:c r="AB1" s="37" t="str">
        <x:v>Master Splits</x:v>
      </x:c>
      <x:c r="AC1" s="37" t="str">
        <x:v>Track Short Copy</x:v>
      </x:c>
      <x:c r="AD1" s="37" t="str">
        <x:v>Website Placement Notes</x:v>
      </x:c>
      <x:c r="AE1" s="37" t="str">
        <x:v>Source</x:v>
      </x:c>
      <x:c r="AF1" s="37" t="str">
        <x:v>Data Confidence</x:v>
      </x:c>
    </x:row>
    <x:row r="2" ht="54" customHeight="1">
      <x:c r="A2" s="38" t="str">
        <x:v>fragments</x:v>
      </x:c>
      <x:c r="B2" s="38" t="str">
        <x:v>/music/fragments</x:v>
      </x:c>
      <x:c r="C2" s="38" t="str">
        <x:v>Fragments</x:v>
      </x:c>
      <x:c r="D2" s="50" t="n">
        <x:v>45380</x:v>
      </x:c>
      <x:c r="E2" s="38" t="n">
        <x:v>1</x:v>
      </x:c>
      <x:c r="F2" s="38" t="str">
        <x:v>Like That</x:v>
      </x:c>
      <x:c r="G2" s="38" t="str">
        <x:v>Like That</x:v>
      </x:c>
      <x:c r="H2" s="38" t="str"/>
      <x:c r="I2" s="38" t="str">
        <x:v>Broey.</x:v>
      </x:c>
      <x:c r="J2" s="38" t="str">
        <x:v>Broey.</x:v>
      </x:c>
      <x:c r="K2" s="38" t="str"/>
      <x:c r="L2" s="38" t="str"/>
      <x:c r="M2" s="38" t="str">
        <x:v>02:32</x:v>
      </x:c>
      <x:c r="N2" s="38" t="str">
        <x:v>CA5KR2429635</x:v>
      </x:c>
      <x:c r="O2" s="38" t="str">
        <x:v>Dance</x:v>
      </x:c>
      <x:c r="P2" s="38" t="str">
        <x:v>Dance / Electro Pop</x:v>
      </x:c>
      <x:c r="Q2" s="38" t="str">
        <x:v>Dance</x:v>
      </x:c>
      <x:c r="R2" s="38" t="str">
        <x:v>00:27-1:27</x:v>
      </x:c>
      <x:c r="S2" s="38" t="str">
        <x:v>No publisher - BMI</x:v>
      </x:c>
      <x:c r="T2" s="38" t="str">
        <x:v>Joseph Montaro</x:v>
      </x:c>
      <x:c r="U2" s="38" t="str">
        <x:v>Broey. / Create Music Group Inc.</x:v>
      </x:c>
      <x:c r="V2" s="38" t="str">
        <x:v>Broey. / Create Music Group Inc.</x:v>
      </x:c>
      <x:c r="W2" s="38" t="str">
        <x:v>No</x:v>
      </x:c>
      <x:c r="X2" s="38" t="str">
        <x:v>No</x:v>
      </x:c>
      <x:c r="Y2" s="38" t="str">
        <x:v>Broey.</x:v>
      </x:c>
      <x:c r="Z2" s="38" t="str">
        <x:v>NONE</x:v>
      </x:c>
      <x:c r="AA2" s="38" t="str">
        <x:v>Broey. (Author)</x:v>
      </x:c>
      <x:c r="AB2" s="38" t="str">
        <x:v>100% Broey.</x:v>
      </x:c>
      <x:c r="AC2" s="38" t="str">
        <x:v>A bright dance/electro-pop opener that sets the EP’s kinetic tone.</x:v>
      </x:c>
      <x:c r="AD2" s="38" t="str">
        <x:v>Original Fragments track.</x:v>
      </x:c>
      <x:c r="AE2" s="38" t="str">
        <x:v>Label Engine confirmation + uploaded Fragments CMG sheet</x:v>
      </x:c>
      <x:c r="AF2" s="38" t="str">
        <x:v>Confirmed</x:v>
      </x:c>
    </x:row>
    <x:row r="3" ht="54" customHeight="1">
      <x:c r="A3" s="38" t="str">
        <x:v>fragments</x:v>
      </x:c>
      <x:c r="B3" s="38" t="str">
        <x:v>/music/fragments</x:v>
      </x:c>
      <x:c r="C3" s="38" t="str">
        <x:v>Fragments</x:v>
      </x:c>
      <x:c r="D3" s="50" t="n">
        <x:v>45380</x:v>
      </x:c>
      <x:c r="E3" s="38" t="n">
        <x:v>2</x:v>
      </x:c>
      <x:c r="F3" s="38" t="str">
        <x:v>Run For Cover</x:v>
      </x:c>
      <x:c r="G3" s="38" t="str">
        <x:v>Run For Cover</x:v>
      </x:c>
      <x:c r="H3" s="38" t="str"/>
      <x:c r="I3" s="38" t="str">
        <x:v>Broey.</x:v>
      </x:c>
      <x:c r="J3" s="38" t="str">
        <x:v>Broey.</x:v>
      </x:c>
      <x:c r="K3" s="38" t="str"/>
      <x:c r="L3" s="38" t="str"/>
      <x:c r="M3" s="38" t="str">
        <x:v>02:34</x:v>
      </x:c>
      <x:c r="N3" s="38" t="str">
        <x:v>CA5KR2429636</x:v>
      </x:c>
      <x:c r="O3" s="38" t="str">
        <x:v>Dance</x:v>
      </x:c>
      <x:c r="P3" s="38" t="str">
        <x:v>Dance / Electro Pop</x:v>
      </x:c>
      <x:c r="Q3" s="38" t="str">
        <x:v>Dance</x:v>
      </x:c>
      <x:c r="R3" s="38" t="str">
        <x:v>00:31-1:31</x:v>
      </x:c>
      <x:c r="S3" s="38" t="str">
        <x:v>No publisher - BMI</x:v>
      </x:c>
      <x:c r="T3" s="38" t="str">
        <x:v>Joseph Montaro</x:v>
      </x:c>
      <x:c r="U3" s="38" t="str">
        <x:v>Broey. / Create Music Group Inc.</x:v>
      </x:c>
      <x:c r="V3" s="38" t="str">
        <x:v>Broey. / Create Music Group Inc.</x:v>
      </x:c>
      <x:c r="W3" s="38" t="str">
        <x:v>No</x:v>
      </x:c>
      <x:c r="X3" s="38" t="str">
        <x:v>No</x:v>
      </x:c>
      <x:c r="Y3" s="38" t="str">
        <x:v>Broey.</x:v>
      </x:c>
      <x:c r="Z3" s="38" t="str">
        <x:v>NONE</x:v>
      </x:c>
      <x:c r="AA3" s="38" t="str">
        <x:v>Broey. (Author)</x:v>
      </x:c>
      <x:c r="AB3" s="38" t="str">
        <x:v>100% Broey.</x:v>
      </x:c>
      <x:c r="AC3" s="38" t="str">
        <x:v>A compact, urgent dance cut that keeps the project moving forward.</x:v>
      </x:c>
      <x:c r="AD3" s="38" t="str">
        <x:v>Original Fragments track.</x:v>
      </x:c>
      <x:c r="AE3" s="38" t="str">
        <x:v>Label Engine confirmation + uploaded Fragments CMG sheet</x:v>
      </x:c>
      <x:c r="AF3" s="38" t="str">
        <x:v>Confirmed</x:v>
      </x:c>
    </x:row>
    <x:row r="4" ht="54" customHeight="1">
      <x:c r="A4" s="38" t="str">
        <x:v>fragments</x:v>
      </x:c>
      <x:c r="B4" s="38" t="str">
        <x:v>/music/fragments</x:v>
      </x:c>
      <x:c r="C4" s="38" t="str">
        <x:v>Fragments</x:v>
      </x:c>
      <x:c r="D4" s="50" t="n">
        <x:v>45380</x:v>
      </x:c>
      <x:c r="E4" s="38" t="n">
        <x:v>3</x:v>
      </x:c>
      <x:c r="F4" s="38" t="str">
        <x:v>Wanted</x:v>
      </x:c>
      <x:c r="G4" s="38" t="str">
        <x:v>Wanted</x:v>
      </x:c>
      <x:c r="H4" s="38" t="str"/>
      <x:c r="I4" s="38" t="str">
        <x:v>Broey.</x:v>
      </x:c>
      <x:c r="J4" s="38" t="str">
        <x:v>Broey.</x:v>
      </x:c>
      <x:c r="K4" s="38" t="str"/>
      <x:c r="L4" s="38" t="str"/>
      <x:c r="M4" s="38" t="str">
        <x:v>03:38</x:v>
      </x:c>
      <x:c r="N4" s="38" t="str">
        <x:v>CA5KR2429637</x:v>
      </x:c>
      <x:c r="O4" s="38" t="str">
        <x:v>Dance</x:v>
      </x:c>
      <x:c r="P4" s="38" t="str">
        <x:v>Dance / Electro Pop</x:v>
      </x:c>
      <x:c r="Q4" s="38" t="str">
        <x:v>Dance</x:v>
      </x:c>
      <x:c r="R4" s="38" t="str">
        <x:v>02:38-03:38</x:v>
      </x:c>
      <x:c r="S4" s="38" t="str">
        <x:v>No publisher - BMI</x:v>
      </x:c>
      <x:c r="T4" s="38" t="str">
        <x:v>Joseph Montaro</x:v>
      </x:c>
      <x:c r="U4" s="38" t="str">
        <x:v>Broey. / Create Music Group Inc.</x:v>
      </x:c>
      <x:c r="V4" s="38" t="str">
        <x:v>Broey. / Create Music Group Inc.</x:v>
      </x:c>
      <x:c r="W4" s="38" t="str">
        <x:v>No</x:v>
      </x:c>
      <x:c r="X4" s="38" t="str">
        <x:v>No</x:v>
      </x:c>
      <x:c r="Y4" s="38" t="str">
        <x:v>Broey.</x:v>
      </x:c>
      <x:c r="Z4" s="38" t="str">
        <x:v>NONE</x:v>
      </x:c>
      <x:c r="AA4" s="38" t="str">
        <x:v>Broey. (Author)</x:v>
      </x:c>
      <x:c r="AB4" s="38" t="str">
        <x:v>100% Broey.</x:v>
      </x:c>
      <x:c r="AC4" s="38" t="str">
        <x:v>A melodic dance track with a larger emotional sweep inside the EP’s club palette.</x:v>
      </x:c>
      <x:c r="AD4" s="38" t="str">
        <x:v>Original Fragments track.</x:v>
      </x:c>
      <x:c r="AE4" s="38" t="str">
        <x:v>Label Engine confirmation + uploaded Fragments CMG sheet</x:v>
      </x:c>
      <x:c r="AF4" s="38" t="str">
        <x:v>Confirmed</x:v>
      </x:c>
    </x:row>
    <x:row r="5" ht="54" customHeight="1">
      <x:c r="A5" s="38" t="str">
        <x:v>fragments</x:v>
      </x:c>
      <x:c r="B5" s="38" t="str">
        <x:v>/music/fragments</x:v>
      </x:c>
      <x:c r="C5" s="38" t="str">
        <x:v>Fragments</x:v>
      </x:c>
      <x:c r="D5" s="50" t="n">
        <x:v>45380</x:v>
      </x:c>
      <x:c r="E5" s="38" t="n">
        <x:v>4</x:v>
      </x:c>
      <x:c r="F5" s="38" t="str">
        <x:v>Numbers</x:v>
      </x:c>
      <x:c r="G5" s="38" t="str">
        <x:v>Numbers</x:v>
      </x:c>
      <x:c r="H5" s="38" t="str"/>
      <x:c r="I5" s="38" t="str">
        <x:v>Broey.</x:v>
      </x:c>
      <x:c r="J5" s="38" t="str">
        <x:v>Broey.</x:v>
      </x:c>
      <x:c r="K5" s="38" t="str"/>
      <x:c r="L5" s="38" t="str"/>
      <x:c r="M5" s="38" t="str">
        <x:v>04:40</x:v>
      </x:c>
      <x:c r="N5" s="38" t="str">
        <x:v>CA5KR2429638</x:v>
      </x:c>
      <x:c r="O5" s="38" t="str">
        <x:v>Dance</x:v>
      </x:c>
      <x:c r="P5" s="38" t="str">
        <x:v>Dance / Electro Pop</x:v>
      </x:c>
      <x:c r="Q5" s="38" t="str">
        <x:v>Dance</x:v>
      </x:c>
      <x:c r="R5" s="38" t="str">
        <x:v>00:46-1:46</x:v>
      </x:c>
      <x:c r="S5" s="38" t="str">
        <x:v>No publisher - BMI</x:v>
      </x:c>
      <x:c r="T5" s="38" t="str">
        <x:v>Joseph Montaro</x:v>
      </x:c>
      <x:c r="U5" s="38" t="str">
        <x:v>Broey. / Create Music Group Inc.</x:v>
      </x:c>
      <x:c r="V5" s="38" t="str">
        <x:v>Broey. / Create Music Group Inc.</x:v>
      </x:c>
      <x:c r="W5" s="38" t="str">
        <x:v>No</x:v>
      </x:c>
      <x:c r="X5" s="38" t="str">
        <x:v>No</x:v>
      </x:c>
      <x:c r="Y5" s="38" t="str">
        <x:v>Broey.</x:v>
      </x:c>
      <x:c r="Z5" s="38" t="str">
        <x:v>NONE</x:v>
      </x:c>
      <x:c r="AA5" s="38" t="str">
        <x:v>Broey. (Author)</x:v>
      </x:c>
      <x:c r="AB5" s="38" t="str">
        <x:v>100% Broey.</x:v>
      </x:c>
      <x:c r="AC5" s="38" t="str">
        <x:v>A rhythmic, club-facing track that pairs drive with Fragments’ reflective edge.</x:v>
      </x:c>
      <x:c r="AD5" s="38" t="str">
        <x:v>Original Fragments track.</x:v>
      </x:c>
      <x:c r="AE5" s="38" t="str">
        <x:v>Label Engine confirmation + uploaded Fragments CMG sheet</x:v>
      </x:c>
      <x:c r="AF5" s="38" t="str">
        <x:v>Confirmed</x:v>
      </x:c>
    </x:row>
    <x:row r="6" ht="54" customHeight="1">
      <x:c r="A6" s="38" t="str">
        <x:v>fragments</x:v>
      </x:c>
      <x:c r="B6" s="38" t="str">
        <x:v>/music/fragments</x:v>
      </x:c>
      <x:c r="C6" s="38" t="str">
        <x:v>Fragments</x:v>
      </x:c>
      <x:c r="D6" s="50" t="n">
        <x:v>45380</x:v>
      </x:c>
      <x:c r="E6" s="38" t="n">
        <x:v>5</x:v>
      </x:c>
      <x:c r="F6" s="38" t="str">
        <x:v>Breathing Room (feat. Vivid Fever Dreams)</x:v>
      </x:c>
      <x:c r="G6" s="38" t="str">
        <x:v>Breathing Room (feat. Vivid Fever Dreams)</x:v>
      </x:c>
      <x:c r="H6" s="38" t="str"/>
      <x:c r="I6" s="38" t="str">
        <x:v>Broey.</x:v>
      </x:c>
      <x:c r="J6" s="38" t="str">
        <x:v>Broey.</x:v>
      </x:c>
      <x:c r="K6" s="38" t="str"/>
      <x:c r="L6" s="38" t="str">
        <x:v>Vivid Fever Dreams</x:v>
      </x:c>
      <x:c r="M6" s="38" t="str">
        <x:v>05:55</x:v>
      </x:c>
      <x:c r="N6" s="38" t="str">
        <x:v>CA5KR2429639</x:v>
      </x:c>
      <x:c r="O6" s="38" t="str">
        <x:v>Dance</x:v>
      </x:c>
      <x:c r="P6" s="38" t="str">
        <x:v>Dance / Electro Pop</x:v>
      </x:c>
      <x:c r="Q6" s="38" t="str">
        <x:v>Dance</x:v>
      </x:c>
      <x:c r="R6" s="38" t="str">
        <x:v>01:01-02:01</x:v>
      </x:c>
      <x:c r="S6" s="38" t="str">
        <x:v>No publisher - BMI</x:v>
      </x:c>
      <x:c r="T6" s="38" t="str">
        <x:v>Joseph Montaro / Daniel Hopin</x:v>
      </x:c>
      <x:c r="U6" s="38" t="str">
        <x:v>Broey. / Create Music Group Inc.</x:v>
      </x:c>
      <x:c r="V6" s="38" t="str">
        <x:v>Broey. / Create Music Group Inc.</x:v>
      </x:c>
      <x:c r="W6" s="38" t="str">
        <x:v>No</x:v>
      </x:c>
      <x:c r="X6" s="38" t="str">
        <x:v>No</x:v>
      </x:c>
      <x:c r="Y6" s="38" t="str">
        <x:v>Broey.</x:v>
      </x:c>
      <x:c r="Z6" s="38" t="str">
        <x:v>NONE</x:v>
      </x:c>
      <x:c r="AA6" s="38" t="str">
        <x:v>Broey. (Author), Vivid Fever Dreams (Author)</x:v>
      </x:c>
      <x:c r="AB6" s="38" t="str">
        <x:v>50% / 50%</x:v>
      </x:c>
      <x:c r="AC6" s="38" t="str">
        <x:v>A longer collaborative cut that creates space inside the EP’s high-energy world.</x:v>
      </x:c>
      <x:c r="AD6" s="38" t="str">
        <x:v>Original Fragments track.</x:v>
      </x:c>
      <x:c r="AE6" s="38" t="str">
        <x:v>Label Engine confirmation + uploaded Fragments CMG sheet</x:v>
      </x:c>
      <x:c r="AF6" s="38" t="str">
        <x:v>Confirmed</x:v>
      </x:c>
    </x:row>
    <x:row r="7" ht="54" customHeight="1">
      <x:c r="A7" s="38" t="str">
        <x:v>fragments</x:v>
      </x:c>
      <x:c r="B7" s="38" t="str">
        <x:v>/music/fragments</x:v>
      </x:c>
      <x:c r="C7" s="38" t="str">
        <x:v>Fragments</x:v>
      </x:c>
      <x:c r="D7" s="50" t="n">
        <x:v>45380</x:v>
      </x:c>
      <x:c r="E7" s="38" t="n">
        <x:v>6</x:v>
      </x:c>
      <x:c r="F7" s="38" t="str">
        <x:v>Eyes On Me</x:v>
      </x:c>
      <x:c r="G7" s="38" t="str">
        <x:v>Eyes On Me</x:v>
      </x:c>
      <x:c r="H7" s="38" t="str"/>
      <x:c r="I7" s="38" t="str">
        <x:v>Broey.</x:v>
      </x:c>
      <x:c r="J7" s="38" t="str">
        <x:v>Broey.</x:v>
      </x:c>
      <x:c r="K7" s="38" t="str"/>
      <x:c r="L7" s="38" t="str"/>
      <x:c r="M7" s="38" t="str">
        <x:v>04:30</x:v>
      </x:c>
      <x:c r="N7" s="38" t="str">
        <x:v>CA5KR2429640</x:v>
      </x:c>
      <x:c r="O7" s="38" t="str">
        <x:v>Dance</x:v>
      </x:c>
      <x:c r="P7" s="38" t="str">
        <x:v>Dance / Electro Pop</x:v>
      </x:c>
      <x:c r="Q7" s="38" t="str">
        <x:v>Dance</x:v>
      </x:c>
      <x:c r="R7" s="38" t="str">
        <x:v>00:45-01:45</x:v>
      </x:c>
      <x:c r="S7" s="38" t="str">
        <x:v>No publisher - BMI</x:v>
      </x:c>
      <x:c r="T7" s="38" t="str">
        <x:v>Joseph Montaro</x:v>
      </x:c>
      <x:c r="U7" s="38" t="str">
        <x:v>Broey. / Create Music Group Inc.</x:v>
      </x:c>
      <x:c r="V7" s="38" t="str">
        <x:v>Broey. / Create Music Group Inc.</x:v>
      </x:c>
      <x:c r="W7" s="38" t="str">
        <x:v>No</x:v>
      </x:c>
      <x:c r="X7" s="38" t="str">
        <x:v>No</x:v>
      </x:c>
      <x:c r="Y7" s="38" t="str">
        <x:v>Broey.</x:v>
      </x:c>
      <x:c r="Z7" s="38" t="str">
        <x:v>NONE</x:v>
      </x:c>
      <x:c r="AA7" s="38" t="str">
        <x:v>Broey. (Author)</x:v>
      </x:c>
      <x:c r="AB7" s="38" t="str">
        <x:v>100% Broey.</x:v>
      </x:c>
      <x:c r="AC7" s="38" t="str">
        <x:v>A direct, dance-leaning anchor built around motion, focus and repetition.</x:v>
      </x:c>
      <x:c r="AD7" s="38" t="str">
        <x:v>Original Fragments track.</x:v>
      </x:c>
      <x:c r="AE7" s="38" t="str">
        <x:v>Label Engine confirmation + uploaded Fragments CMG sheet</x:v>
      </x:c>
      <x:c r="AF7" s="38" t="str">
        <x:v>Confirmed</x:v>
      </x:c>
    </x:row>
    <x:row r="8" ht="54" customHeight="1">
      <x:c r="A8" s="38" t="str">
        <x:v>fragments-remixes</x:v>
      </x:c>
      <x:c r="B8" s="38" t="str">
        <x:v>/music/fragments-remixes</x:v>
      </x:c>
      <x:c r="C8" s="38" t="str">
        <x:v>Fragments (Remixes)</x:v>
      </x:c>
      <x:c r="D8" s="50" t="n">
        <x:v>45422</x:v>
      </x:c>
      <x:c r="E8" s="38" t="n">
        <x:v>1</x:v>
      </x:c>
      <x:c r="F8" s="38" t="str">
        <x:v>Numbers (tom_ecko Remix)</x:v>
      </x:c>
      <x:c r="G8" s="38" t="str">
        <x:v>Numbers</x:v>
      </x:c>
      <x:c r="H8" s="38" t="str">
        <x:v>tom_ecko Remix</x:v>
      </x:c>
      <x:c r="I8" s="38" t="str">
        <x:v>Broey., tom_ecko</x:v>
      </x:c>
      <x:c r="J8" s="38" t="str">
        <x:v>Broey., tom_ecko</x:v>
      </x:c>
      <x:c r="K8" s="38" t="str">
        <x:v>tom_ecko</x:v>
      </x:c>
      <x:c r="L8" s="38" t="str"/>
      <x:c r="M8" s="38" t="str">
        <x:v>02:23</x:v>
      </x:c>
      <x:c r="N8" s="38" t="str">
        <x:v>CA5KR2451529</x:v>
      </x:c>
      <x:c r="O8" s="38" t="str">
        <x:v>Dance</x:v>
      </x:c>
      <x:c r="P8" s="38" t="str">
        <x:v>Bass House</x:v>
      </x:c>
      <x:c r="Q8" s="38" t="str">
        <x:v>Bass House</x:v>
      </x:c>
      <x:c r="R8" s="38" t="str">
        <x:v>1:10-2:10</x:v>
      </x:c>
      <x:c r="S8" s="38" t="str">
        <x:v>Copyright Control</x:v>
      </x:c>
      <x:c r="T8" s="38" t="str">
        <x:v>Joseph Montaro &amp; Spencer Tomecko</x:v>
      </x:c>
      <x:c r="U8" s="38" t="str">
        <x:v>Broey. / Create Music Group Inc.</x:v>
      </x:c>
      <x:c r="V8" s="38" t="str">
        <x:v>Broey. / Create Music Group Inc.</x:v>
      </x:c>
      <x:c r="W8" s="38" t="str">
        <x:v>No</x:v>
      </x:c>
      <x:c r="X8" s="38" t="str">
        <x:v>No</x:v>
      </x:c>
      <x:c r="Y8" s="38" t="str">
        <x:v>Joseph Montaro (Arranger), Spencer Tomecko (Arranger)</x:v>
      </x:c>
      <x:c r="Z8" s="38" t="str">
        <x:v>NONE</x:v>
      </x:c>
      <x:c r="AA8" s="38" t="str">
        <x:v>Joseph Montaro (Arranger), Spencer Tomecko (Arranger)</x:v>
      </x:c>
      <x:c r="AB8" s="38" t="str">
        <x:v>50% / 50%</x:v>
      </x:c>
      <x:c r="AC8" s="38" t="str">
        <x:v>A bass-house flip of “Numbers” that pushes the original toward heavier club pressure.</x:v>
      </x:c>
      <x:c r="AD8" s="38" t="str">
        <x:v>Remix display uses remixer in artist/title for website discoverability.</x:v>
      </x:c>
      <x:c r="AE8" s="38" t="str">
        <x:v>Label Engine confirmation + uploaded Fragments Remixes CMG sheet</x:v>
      </x:c>
      <x:c r="AF8" s="38" t="str">
        <x:v>Confirmed</x:v>
      </x:c>
    </x:row>
    <x:row r="9" ht="54" customHeight="1">
      <x:c r="A9" s="38" t="str">
        <x:v>fragments-remixes</x:v>
      </x:c>
      <x:c r="B9" s="38" t="str">
        <x:v>/music/fragments-remixes</x:v>
      </x:c>
      <x:c r="C9" s="38" t="str">
        <x:v>Fragments (Remixes)</x:v>
      </x:c>
      <x:c r="D9" s="50" t="n">
        <x:v>45422</x:v>
      </x:c>
      <x:c r="E9" s="38" t="n">
        <x:v>2</x:v>
      </x:c>
      <x:c r="F9" s="38" t="str">
        <x:v>Eyes On Me (dreamsuite Remix)</x:v>
      </x:c>
      <x:c r="G9" s="38" t="str">
        <x:v>Eyes On Me</x:v>
      </x:c>
      <x:c r="H9" s="38" t="str">
        <x:v>dreamsuite Remix</x:v>
      </x:c>
      <x:c r="I9" s="38" t="str">
        <x:v>Broey., dreamsuite</x:v>
      </x:c>
      <x:c r="J9" s="38" t="str">
        <x:v>Broey., dreamsuite</x:v>
      </x:c>
      <x:c r="K9" s="38" t="str">
        <x:v>dreamsuite</x:v>
      </x:c>
      <x:c r="L9" s="38" t="str"/>
      <x:c r="M9" s="38" t="str">
        <x:v>02:39</x:v>
      </x:c>
      <x:c r="N9" s="38" t="str">
        <x:v>CA5KR2451530</x:v>
      </x:c>
      <x:c r="O9" s="38" t="str">
        <x:v>Electronic</x:v>
      </x:c>
      <x:c r="P9" s="38" t="str">
        <x:v>UK Garage / Bassline</x:v>
      </x:c>
      <x:c r="Q9" s="38" t="str">
        <x:v>Future Garage / UK Garage</x:v>
      </x:c>
      <x:c r="R9" s="38" t="str">
        <x:v>0:25-1:25</x:v>
      </x:c>
      <x:c r="S9" s="38" t="str">
        <x:v>APRA AMCOS</x:v>
      </x:c>
      <x:c r="T9" s="38" t="str">
        <x:v>Joseph Montaro &amp; Will McKenzie</x:v>
      </x:c>
      <x:c r="U9" s="38" t="str">
        <x:v>Broey. / Create Music Group Inc.</x:v>
      </x:c>
      <x:c r="V9" s="38" t="str">
        <x:v>Broey. / Create Music Group Inc.</x:v>
      </x:c>
      <x:c r="W9" s="38" t="str">
        <x:v>No</x:v>
      </x:c>
      <x:c r="X9" s="38" t="str">
        <x:v>No</x:v>
      </x:c>
      <x:c r="Y9" s="38" t="str">
        <x:v>Joseph Montaro (Arranger), Will McKenzie (Arranger)</x:v>
      </x:c>
      <x:c r="Z9" s="38" t="str">
        <x:v>NONE</x:v>
      </x:c>
      <x:c r="AA9" s="38" t="str">
        <x:v>Joseph Montaro (Arranger), Will McKenzie (Arranger)</x:v>
      </x:c>
      <x:c r="AB9" s="38" t="str">
        <x:v>50% / 50%</x:v>
      </x:c>
      <x:c r="AC9" s="38" t="str">
        <x:v>A garage/bassline reshape of “Eyes On Me” with sharp movement and dancefloor lift.</x:v>
      </x:c>
      <x:c r="AD9" s="38" t="str">
        <x:v>Remix display uses remixer in artist/title for website discoverability.</x:v>
      </x:c>
      <x:c r="AE9" s="38" t="str">
        <x:v>Label Engine confirmation + uploaded Fragments Remixes CMG sheet</x:v>
      </x:c>
      <x:c r="AF9" s="38" t="str">
        <x:v>Confirmed</x:v>
      </x:c>
    </x:row>
    <x:row r="10" ht="54" customHeight="1">
      <x:c r="A10" s="38" t="str">
        <x:v>fragments-remixes</x:v>
      </x:c>
      <x:c r="B10" s="38" t="str">
        <x:v>/music/fragments-remixes</x:v>
      </x:c>
      <x:c r="C10" s="38" t="str">
        <x:v>Fragments (Remixes)</x:v>
      </x:c>
      <x:c r="D10" s="50" t="n">
        <x:v>45422</x:v>
      </x:c>
      <x:c r="E10" s="38" t="n">
        <x:v>3</x:v>
      </x:c>
      <x:c r="F10" s="38" t="str">
        <x:v>Like That (notminimal. Remix)</x:v>
      </x:c>
      <x:c r="G10" s="38" t="str">
        <x:v>Like That</x:v>
      </x:c>
      <x:c r="H10" s="38" t="str">
        <x:v>notminimal. Remix</x:v>
      </x:c>
      <x:c r="I10" s="38" t="str">
        <x:v>Broey., notminimal.</x:v>
      </x:c>
      <x:c r="J10" s="38" t="str">
        <x:v>Broey., notminimal.</x:v>
      </x:c>
      <x:c r="K10" s="38" t="str">
        <x:v>notminimal.</x:v>
      </x:c>
      <x:c r="L10" s="38" t="str"/>
      <x:c r="M10" s="38" t="str">
        <x:v>03:25</x:v>
      </x:c>
      <x:c r="N10" s="38" t="str">
        <x:v>CA5KR2451531</x:v>
      </x:c>
      <x:c r="O10" s="38" t="str">
        <x:v>Electronic</x:v>
      </x:c>
      <x:c r="P10" s="38" t="str">
        <x:v>UK Garage / Bassline</x:v>
      </x:c>
      <x:c r="Q10" s="38" t="str">
        <x:v>Future Garage / UK Garage</x:v>
      </x:c>
      <x:c r="R10" s="38" t="str">
        <x:v>0:34-1:34</x:v>
      </x:c>
      <x:c r="S10" s="38" t="str">
        <x:v>BMI</x:v>
      </x:c>
      <x:c r="T10" s="38" t="str">
        <x:v>Joseph Montaro &amp; Alberto Cicala</x:v>
      </x:c>
      <x:c r="U10" s="38" t="str">
        <x:v>Broey. / Create Music Group Inc.</x:v>
      </x:c>
      <x:c r="V10" s="38" t="str">
        <x:v>Broey. / Create Music Group Inc.</x:v>
      </x:c>
      <x:c r="W10" s="38" t="str">
        <x:v>No</x:v>
      </x:c>
      <x:c r="X10" s="38" t="str">
        <x:v>No</x:v>
      </x:c>
      <x:c r="Y10" s="38" t="str">
        <x:v>Joseph Montaro (Arranger), Alberto Cicala (Arranger)</x:v>
      </x:c>
      <x:c r="Z10" s="38" t="str">
        <x:v>NONE</x:v>
      </x:c>
      <x:c r="AA10" s="38" t="str">
        <x:v>Joseph Montaro (Arranger), Alberto Cicala (Arranger)</x:v>
      </x:c>
      <x:c r="AB10" s="38" t="str">
        <x:v>50% / 50%</x:v>
      </x:c>
      <x:c r="AC10" s="38" t="str">
        <x:v>A UKG/bassline version of “Like That” that highlights notminimal.’s crisp rhythmic touch.</x:v>
      </x:c>
      <x:c r="AD10" s="38" t="str">
        <x:v>Remix display uses remixer in artist/title for website discoverability.</x:v>
      </x:c>
      <x:c r="AE10" s="38" t="str">
        <x:v>Label Engine confirmation + uploaded Fragments Remixes CMG sheet</x:v>
      </x:c>
      <x:c r="AF10" s="38" t="str">
        <x:v>Confirmed</x:v>
      </x:c>
    </x:row>
    <x:row r="11" ht="54" customHeight="1">
      <x:c r="A11" s="38" t="str">
        <x:v>fragments-remixes</x:v>
      </x:c>
      <x:c r="B11" s="38" t="str">
        <x:v>/music/fragments-remixes</x:v>
      </x:c>
      <x:c r="C11" s="38" t="str">
        <x:v>Fragments (Remixes)</x:v>
      </x:c>
      <x:c r="D11" s="50" t="n">
        <x:v>45422</x:v>
      </x:c>
      <x:c r="E11" s="38" t="n">
        <x:v>4</x:v>
      </x:c>
      <x:c r="F11" s="38" t="str">
        <x:v>Wanted (Almost Anyone Remix)</x:v>
      </x:c>
      <x:c r="G11" s="38" t="str">
        <x:v>Wanted</x:v>
      </x:c>
      <x:c r="H11" s="38" t="str">
        <x:v>Almost Anyone Remix</x:v>
      </x:c>
      <x:c r="I11" s="38" t="str">
        <x:v>Broey., Almost Anyone</x:v>
      </x:c>
      <x:c r="J11" s="38" t="str">
        <x:v>Broey., Almost Anyone</x:v>
      </x:c>
      <x:c r="K11" s="38" t="str">
        <x:v>Almost Anyone</x:v>
      </x:c>
      <x:c r="L11" s="38" t="str"/>
      <x:c r="M11" s="38" t="str">
        <x:v>05:08</x:v>
      </x:c>
      <x:c r="N11" s="38" t="str">
        <x:v>CA5KR2451532</x:v>
      </x:c>
      <x:c r="O11" s="38" t="str">
        <x:v>Electronic</x:v>
      </x:c>
      <x:c r="P11" s="38" t="str">
        <x:v>Drum &amp; Bass</x:v>
      </x:c>
      <x:c r="Q11" s="38" t="str">
        <x:v>Jungle / DnB</x:v>
      </x:c>
      <x:c r="R11" s="38" t="str">
        <x:v>1:10-2:10</x:v>
      </x:c>
      <x:c r="S11" s="38" t="str">
        <x:v>Songtrust / PRS</x:v>
      </x:c>
      <x:c r="T11" s="38" t="str">
        <x:v>Joseph Montaro &amp; Alexander Edward Reade</x:v>
      </x:c>
      <x:c r="U11" s="38" t="str">
        <x:v>Broey. / Create Music Group Inc.</x:v>
      </x:c>
      <x:c r="V11" s="38" t="str">
        <x:v>Broey. / Create Music Group Inc.</x:v>
      </x:c>
      <x:c r="W11" s="38" t="str">
        <x:v>No</x:v>
      </x:c>
      <x:c r="X11" s="38" t="str">
        <x:v>No</x:v>
      </x:c>
      <x:c r="Y11" s="38" t="str">
        <x:v>Alexander Edward Reade (Arranger), Joseph Montaro (Arranger)</x:v>
      </x:c>
      <x:c r="Z11" s="38" t="str">
        <x:v>NONE</x:v>
      </x:c>
      <x:c r="AA11" s="38" t="str">
        <x:v>Alexander Edward Reade (Arranger), Joseph Montaro (Arranger)</x:v>
      </x:c>
      <x:c r="AB11" s="38" t="str">
        <x:v>50% / 50%</x:v>
      </x:c>
      <x:c r="AC11" s="38" t="str">
        <x:v>A long-form jungle/DnB rework that stretches “Wanted” into a fast, atmospheric journey.</x:v>
      </x:c>
      <x:c r="AD11" s="38" t="str">
        <x:v>Remix display uses remixer in artist/title for website discoverability.</x:v>
      </x:c>
      <x:c r="AE11" s="38" t="str">
        <x:v>Label Engine confirmation + uploaded Fragments Remixes CMG sheet</x:v>
      </x:c>
      <x:c r="AF11" s="38" t="str">
        <x:v>Confirmed</x:v>
      </x:c>
    </x:row>
    <x:row r="12" ht="54" customHeight="1">
      <x:c r="A12" s="38" t="str">
        <x:v>fragments-remixes</x:v>
      </x:c>
      <x:c r="B12" s="38" t="str">
        <x:v>/music/fragments-remixes</x:v>
      </x:c>
      <x:c r="C12" s="38" t="str">
        <x:v>Fragments (Remixes)</x:v>
      </x:c>
      <x:c r="D12" s="50" t="n">
        <x:v>45422</x:v>
      </x:c>
      <x:c r="E12" s="38" t="n">
        <x:v>5</x:v>
      </x:c>
      <x:c r="F12" s="38" t="str">
        <x:v>Eyes On Me (Vivid Fever Dreams Remix)</x:v>
      </x:c>
      <x:c r="G12" s="38" t="str">
        <x:v>Eyes On Me</x:v>
      </x:c>
      <x:c r="H12" s="38" t="str">
        <x:v>Vivid Fever Dreams Remix</x:v>
      </x:c>
      <x:c r="I12" s="38" t="str">
        <x:v>Broey., Vivid Fever Dreams</x:v>
      </x:c>
      <x:c r="J12" s="38" t="str">
        <x:v>Broey., Vivid Fever Dreams</x:v>
      </x:c>
      <x:c r="K12" s="38" t="str">
        <x:v>Vivid Fever Dreams</x:v>
      </x:c>
      <x:c r="L12" s="38" t="str"/>
      <x:c r="M12" s="38" t="str">
        <x:v>03:35</x:v>
      </x:c>
      <x:c r="N12" s="38" t="str">
        <x:v>CA5KR2451533</x:v>
      </x:c>
      <x:c r="O12" s="38" t="str">
        <x:v>Electronic</x:v>
      </x:c>
      <x:c r="P12" s="38" t="str">
        <x:v>Dubstep</x:v>
      </x:c>
      <x:c r="Q12" s="38" t="str">
        <x:v>Dubstep / Trap</x:v>
      </x:c>
      <x:c r="R12" s="38" t="str">
        <x:v>1:18-2:18</x:v>
      </x:c>
      <x:c r="S12" s="38" t="str">
        <x:v>BMI</x:v>
      </x:c>
      <x:c r="T12" s="38" t="str">
        <x:v>Joseph Montaro &amp; Daniel Hopin</x:v>
      </x:c>
      <x:c r="U12" s="38" t="str">
        <x:v>Broey. / Create Music Group Inc.</x:v>
      </x:c>
      <x:c r="V12" s="38" t="str">
        <x:v>Broey. / Create Music Group Inc.</x:v>
      </x:c>
      <x:c r="W12" s="38" t="str">
        <x:v>No</x:v>
      </x:c>
      <x:c r="X12" s="38" t="str">
        <x:v>No</x:v>
      </x:c>
      <x:c r="Y12" s="38" t="str">
        <x:v>Joseph Montaro (Arranger), Daniel Hopin (Arranger)</x:v>
      </x:c>
      <x:c r="Z12" s="38" t="str">
        <x:v>NONE</x:v>
      </x:c>
      <x:c r="AA12" s="38" t="str">
        <x:v>Joseph Montaro (Arranger), Daniel Hopin (Arranger)</x:v>
      </x:c>
      <x:c r="AB12" s="38" t="str">
        <x:v>50% / 50%</x:v>
      </x:c>
      <x:c r="AC12" s="38" t="str">
        <x:v>A darker dubstep/trap interpretation that turns “Eyes On Me” into a heavier statement.</x:v>
      </x:c>
      <x:c r="AD12" s="38" t="str">
        <x:v>Remix display uses remixer in artist/title for website discoverability.</x:v>
      </x:c>
      <x:c r="AE12" s="38" t="str">
        <x:v>Label Engine confirmation + uploaded Fragments Remixes CMG sheet</x:v>
      </x:c>
      <x:c r="AF12" s="38" t="str">
        <x:v>Confirmed</x:v>
      </x:c>
    </x:row>
    <x:row r="13" ht="54" customHeight="1">
      <x:c r="A13" s="38" t="str">
        <x:v>fragments-remixes</x:v>
      </x:c>
      <x:c r="B13" s="38" t="str">
        <x:v>/music/fragments-remixes</x:v>
      </x:c>
      <x:c r="C13" s="38" t="str">
        <x:v>Fragments (Remixes)</x:v>
      </x:c>
      <x:c r="D13" s="50" t="n">
        <x:v>45422</x:v>
      </x:c>
      <x:c r="E13" s="38" t="n">
        <x:v>6</x:v>
      </x:c>
      <x:c r="F13" s="38" t="str">
        <x:v>Wanted (Kaiyo Remix)</x:v>
      </x:c>
      <x:c r="G13" s="38" t="str">
        <x:v>Wanted</x:v>
      </x:c>
      <x:c r="H13" s="38" t="str">
        <x:v>Kaiyo Remix</x:v>
      </x:c>
      <x:c r="I13" s="38" t="str">
        <x:v>Broey., Kaiyo</x:v>
      </x:c>
      <x:c r="J13" s="38" t="str">
        <x:v>Broey., Kaiyo</x:v>
      </x:c>
      <x:c r="K13" s="38" t="str">
        <x:v>Kaiyo</x:v>
      </x:c>
      <x:c r="L13" s="38" t="str"/>
      <x:c r="M13" s="38" t="str">
        <x:v>03:04</x:v>
      </x:c>
      <x:c r="N13" s="38" t="str">
        <x:v>CA5KR2451534</x:v>
      </x:c>
      <x:c r="O13" s="38" t="str">
        <x:v>Electronic</x:v>
      </x:c>
      <x:c r="P13" s="38" t="str">
        <x:v>Trap / Wave</x:v>
      </x:c>
      <x:c r="Q13" s="38" t="str">
        <x:v>Trap</x:v>
      </x:c>
      <x:c r="R13" s="38" t="str">
        <x:v>0:40-1:40</x:v>
      </x:c>
      <x:c r="S13" s="38" t="str">
        <x:v>ASCAP</x:v>
      </x:c>
      <x:c r="T13" s="38" t="str">
        <x:v>Joseph Montaro &amp; Michael Abel Nascimento</x:v>
      </x:c>
      <x:c r="U13" s="38" t="str">
        <x:v>Broey. / Create Music Group Inc.</x:v>
      </x:c>
      <x:c r="V13" s="38" t="str">
        <x:v>Broey. / Create Music Group Inc.</x:v>
      </x:c>
      <x:c r="W13" s="38" t="str">
        <x:v>No</x:v>
      </x:c>
      <x:c r="X13" s="38" t="str">
        <x:v>No</x:v>
      </x:c>
      <x:c r="Y13" s="38" t="str">
        <x:v>Joseph Montaro (Arranger), Michael Abel Nascimento (Arranger)</x:v>
      </x:c>
      <x:c r="Z13" s="38" t="str">
        <x:v>NONE</x:v>
      </x:c>
      <x:c r="AA13" s="38" t="str">
        <x:v>Joseph Montaro (Arranger), Michael Abel Nascimento (Arranger)</x:v>
      </x:c>
      <x:c r="AB13" s="38" t="str">
        <x:v>50% / 50%</x:v>
      </x:c>
      <x:c r="AC13" s="38" t="str">
        <x:v>A trap/wave take on “Wanted” that adds atmosphere, weight and melodic space.</x:v>
      </x:c>
      <x:c r="AD13" s="38" t="str">
        <x:v>Remix display uses remixer in artist/title for website discoverability.</x:v>
      </x:c>
      <x:c r="AE13" s="38" t="str">
        <x:v>Label Engine confirmation + uploaded Fragments Remixes CMG sheet</x:v>
      </x:c>
      <x:c r="AF13" s="38" t="str">
        <x:v>Confirmed</x:v>
      </x:c>
    </x:row>
    <x:row r="14" ht="54" customHeight="1">
      <x:c r="A14" s="38" t="str">
        <x:v>fragments-remixes</x:v>
      </x:c>
      <x:c r="B14" s="38" t="str">
        <x:v>/music/fragments-remixes</x:v>
      </x:c>
      <x:c r="C14" s="38" t="str">
        <x:v>Fragments (Remixes)</x:v>
      </x:c>
      <x:c r="D14" s="50" t="n">
        <x:v>45422</x:v>
      </x:c>
      <x:c r="E14" s="38" t="n">
        <x:v>7</x:v>
      </x:c>
      <x:c r="F14" s="38" t="str">
        <x:v>Eyes On Me (exmaxhina Remix)</x:v>
      </x:c>
      <x:c r="G14" s="38" t="str">
        <x:v>Eyes On Me</x:v>
      </x:c>
      <x:c r="H14" s="38" t="str">
        <x:v>exmaxhina Remix</x:v>
      </x:c>
      <x:c r="I14" s="38" t="str">
        <x:v>Broey., exmaxhina</x:v>
      </x:c>
      <x:c r="J14" s="38" t="str">
        <x:v>Broey., exmaxhina</x:v>
      </x:c>
      <x:c r="K14" s="38" t="str">
        <x:v>exmaxhina</x:v>
      </x:c>
      <x:c r="L14" s="38" t="str"/>
      <x:c r="M14" s="38" t="str">
        <x:v>04:22</x:v>
      </x:c>
      <x:c r="N14" s="38" t="str">
        <x:v>CA5KR2451535</x:v>
      </x:c>
      <x:c r="O14" s="38" t="str">
        <x:v>Dance</x:v>
      </x:c>
      <x:c r="P14" s="38" t="str">
        <x:v>House</x:v>
      </x:c>
      <x:c r="Q14" s="38" t="str">
        <x:v>House (Old School)</x:v>
      </x:c>
      <x:c r="R14" s="38" t="str">
        <x:v>2:50-3:50</x:v>
      </x:c>
      <x:c r="S14" s="38" t="str">
        <x:v>BMI</x:v>
      </x:c>
      <x:c r="T14" s="38" t="str">
        <x:v>Joseph Montaro &amp; Arman Sikder</x:v>
      </x:c>
      <x:c r="U14" s="38" t="str">
        <x:v>Broey. / Create Music Group Inc.</x:v>
      </x:c>
      <x:c r="V14" s="38" t="str">
        <x:v>Broey. / Create Music Group Inc.</x:v>
      </x:c>
      <x:c r="W14" s="38" t="str">
        <x:v>No</x:v>
      </x:c>
      <x:c r="X14" s="38" t="str">
        <x:v>No</x:v>
      </x:c>
      <x:c r="Y14" s="38" t="str">
        <x:v>Joseph Montaro (Arranger), Arman Sikder (Arranger)</x:v>
      </x:c>
      <x:c r="Z14" s="38" t="str">
        <x:v>NONE</x:v>
      </x:c>
      <x:c r="AA14" s="38" t="str">
        <x:v>Joseph Montaro (Arranger), Arman Sikder (Arranger)</x:v>
      </x:c>
      <x:c r="AB14" s="38" t="str">
        <x:v>50% / 50%</x:v>
      </x:c>
      <x:c r="AC14" s="38" t="str">
        <x:v>An old-school house lens on “Eyes On Me,” keeping the source recognizable while changing the room around it.</x:v>
      </x:c>
      <x:c r="AD14" s="38" t="str">
        <x:v>Remix display uses remixer in artist/title for website discoverability.</x:v>
      </x:c>
      <x:c r="AE14" s="38" t="str">
        <x:v>Label Engine confirmation + uploaded Fragments Remixes CMG sheet</x:v>
      </x:c>
      <x:c r="AF14" s="38" t="str">
        <x:v>Confirmed</x:v>
      </x:c>
    </x:row>
    <x:row r="15" ht="54" customHeight="1">
      <x:c r="A15" s="38" t="str">
        <x:v>4u</x:v>
      </x:c>
      <x:c r="B15" s="38" t="str">
        <x:v>/music/4u</x:v>
      </x:c>
      <x:c r="C15" s="38" t="str">
        <x:v>4u</x:v>
      </x:c>
      <x:c r="D15" s="67" t="n">
        <x:v>45492</x:v>
      </x:c>
      <x:c r="E15" s="38" t="n">
        <x:v>1</x:v>
      </x:c>
      <x:c r="F15" s="38" t="str">
        <x:v>4u</x:v>
      </x:c>
      <x:c r="G15" s="38" t="str">
        <x:v>4u</x:v>
      </x:c>
      <x:c r="H15" s="38"/>
      <x:c r="I15" s="38" t="str">
        <x:v>Broey., notminimal.</x:v>
      </x:c>
      <x:c r="J15" s="38" t="str">
        <x:v>Broey., notminimal.</x:v>
      </x:c>
      <x:c r="K15" s="38"/>
      <x:c r="L15" s="38"/>
      <x:c r="M15" s="38" t="str">
        <x:v>03:19</x:v>
      </x:c>
      <x:c r="N15" s="38" t="str">
        <x:v>CA5KR2469670</x:v>
      </x:c>
      <x:c r="O15" s="38" t="str">
        <x:v>Electronic</x:v>
      </x:c>
      <x:c r="P15" s="38" t="str">
        <x:v>UK Garage / Bassline</x:v>
      </x:c>
      <x:c r="Q15" s="38" t="str">
        <x:v>UK Garage / Bassline</x:v>
      </x:c>
      <x:c r="R15" s="38" t="str">
        <x:v>0:42-1:42</x:v>
      </x:c>
      <x:c r="S15" s="38" t="str">
        <x:v>BMI</x:v>
      </x:c>
      <x:c r="T15" s="38" t="str">
        <x:v>Joseph Montaro &amp; Alberto Cicala</x:v>
      </x:c>
      <x:c r="U15" s="38" t="str">
        <x:v>Broey. &amp; notminimal. / Create Music Group Inc.</x:v>
      </x:c>
      <x:c r="V15" s="38" t="str">
        <x:v>Broey. &amp; notminimal. / Create Music Group Inc.</x:v>
      </x:c>
      <x:c r="W15" s="38" t="str">
        <x:v>No</x:v>
      </x:c>
      <x:c r="X15" s="38" t="str">
        <x:v>No</x:v>
      </x:c>
      <x:c r="Y15" s="38" t="str">
        <x:v>Joseph Montaro (Arranger), Alberto Cicala (Arranger)</x:v>
      </x:c>
      <x:c r="Z15" s="38" t="str">
        <x:v>NONE</x:v>
      </x:c>
      <x:c r="AA15" s="38" t="str">
        <x:v>Joseph Montaro (Arranger), Alberto Cicala (Arranger)</x:v>
      </x:c>
      <x:c r="AB15" s="38" t="str">
        <x:v>50% / 50%</x:v>
      </x:c>
      <x:c r="AC15" s="38" t="str">
        <x:v>A high-energy UKG/bassline collaboration built for movement and shared momentum.</x:v>
      </x:c>
      <x:c r="AD15" s="38" t="str">
        <x:v>Metadata confirmed by Label Engine distribution confirmation; direct DSP links still need to be collected for the website.</x:v>
      </x:c>
      <x:c r="AE15" s="38" t="str">
        <x:v>Label Engine distribution confirmation + pasted release submission/SFA copy</x:v>
      </x:c>
      <x:c r="AF15" s="38" t="str">
        <x:v>Confirmed</x:v>
      </x:c>
    </x:row>
    <x:row r="16" ht="54" customHeight="1">
      <x:c r="A16" s="38" t="str">
        <x:v>mean-something</x:v>
      </x:c>
      <x:c r="B16" s="38" t="str">
        <x:v>/music/mean-something</x:v>
      </x:c>
      <x:c r="C16" s="38" t="str">
        <x:v>Mean Something</x:v>
      </x:c>
      <x:c r="D16" s="67" t="n">
        <x:v>45597</x:v>
      </x:c>
      <x:c r="E16" s="38" t="n">
        <x:v>1</x:v>
      </x:c>
      <x:c r="F16" s="38" t="str">
        <x:v>Mean Something</x:v>
      </x:c>
      <x:c r="G16" s="38" t="str">
        <x:v>Mean Something</x:v>
      </x:c>
      <x:c r="H16" s="38"/>
      <x:c r="I16" s="38" t="str">
        <x:v>Broey.</x:v>
      </x:c>
      <x:c r="J16" s="38" t="str">
        <x:v>Broey.</x:v>
      </x:c>
      <x:c r="K16" s="38"/>
      <x:c r="L16" s="38"/>
      <x:c r="M16" s="38" t="str">
        <x:v>04:31</x:v>
      </x:c>
      <x:c r="N16" s="38" t="str">
        <x:v>QZTGW2400895</x:v>
      </x:c>
      <x:c r="O16" s="38" t="str">
        <x:v>Electronic</x:v>
      </x:c>
      <x:c r="P16" s="38" t="str">
        <x:v>Electronica</x:v>
      </x:c>
      <x:c r="Q16" s="38" t="str">
        <x:v>Alternative Electronic</x:v>
      </x:c>
      <x:c r="R16" s="38" t="str">
        <x:v>1:00-2:00</x:v>
      </x:c>
      <x:c r="S16" s="38" t="str">
        <x:v>BMI</x:v>
      </x:c>
      <x:c r="T16" s="38" t="str">
        <x:v>Joseph Montaro</x:v>
      </x:c>
      <x:c r="U16" s="38" t="str">
        <x:v>Broey. / Create Music Group Inc.</x:v>
      </x:c>
      <x:c r="V16" s="38" t="str">
        <x:v>Broey. / Create Music Group Inc.</x:v>
      </x:c>
      <x:c r="W16" s="38" t="str">
        <x:v>No</x:v>
      </x:c>
      <x:c r="X16" s="38" t="str">
        <x:v>No</x:v>
      </x:c>
      <x:c r="Y16" s="38" t="str">
        <x:v>Joseph Montaro (Arranger)</x:v>
      </x:c>
      <x:c r="Z16" s="38" t="str">
        <x:v>NONE</x:v>
      </x:c>
      <x:c r="AA16" s="38" t="str">
        <x:v>Joseph Montaro (Arranger)</x:v>
      </x:c>
      <x:c r="AB16" s="38" t="str">
        <x:v>100% Broey.</x:v>
      </x:c>
      <x:c r="AC16" s="38" t="str">
        <x:v>A reflective downtempo/alternative electronic single that captures a personal creative pivot.</x:v>
      </x:c>
      <x:c r="AD16" s="38" t="str">
        <x:v>Metadata confirmed by Label Engine distribution confirmation; direct DSP links still need to be collected for the website.</x:v>
      </x:c>
      <x:c r="AE16" s="38" t="str">
        <x:v>Label Engine distribution confirmation + pasted release submission/SFA copy</x:v>
      </x:c>
      <x:c r="AF16" s="38" t="str">
        <x:v>Confirmed</x:v>
      </x:c>
    </x:row>
    <x:row r="17" ht="54" customHeight="1">
      <x:c r="A17" s="38" t="str">
        <x:v>i-cant-wait-for-love</x:v>
      </x:c>
      <x:c r="B17" s="38" t="str">
        <x:v>/music/i-cant-wait-for-love</x:v>
      </x:c>
      <x:c r="C17" s="38" t="str">
        <x:v>I Can't Wait For Love</x:v>
      </x:c>
      <x:c r="D17" s="67" t="n">
        <x:v>45779</x:v>
      </x:c>
      <x:c r="E17" s="38" t="n">
        <x:v>1</x:v>
      </x:c>
      <x:c r="F17" s="38" t="str">
        <x:v>I Can't Wait For Love</x:v>
      </x:c>
      <x:c r="G17" s="38" t="str">
        <x:v>I Can't Wait For Love</x:v>
      </x:c>
      <x:c r="H17" s="38"/>
      <x:c r="I17" s="38" t="str">
        <x:v>Broey., Broken Blythe</x:v>
      </x:c>
      <x:c r="J17" s="38" t="str">
        <x:v>Broey., Broken Blythe</x:v>
      </x:c>
      <x:c r="K17" s="38"/>
      <x:c r="L17" s="38"/>
      <x:c r="M17" s="38" t="str">
        <x:v>03:39</x:v>
      </x:c>
      <x:c r="N17" s="38" t="str">
        <x:v>QZTGW2404264</x:v>
      </x:c>
      <x:c r="O17" s="38" t="str">
        <x:v>Electronic</x:v>
      </x:c>
      <x:c r="P17" s="38" t="str">
        <x:v>Drum &amp; Bass</x:v>
      </x:c>
      <x:c r="Q17" s="38" t="str">
        <x:v>Drum &amp; Bass</x:v>
      </x:c>
      <x:c r="R17" s="38" t="str">
        <x:v>00:43-1:43</x:v>
      </x:c>
      <x:c r="S17" s="38" t="str">
        <x:v>BMI</x:v>
      </x:c>
      <x:c r="T17" s="38" t="str">
        <x:v>Joseph Montaro &amp; Julian Blythe</x:v>
      </x:c>
      <x:c r="U17" s="38" t="str">
        <x:v>Broey. &amp; Broken Blythe / Create Music Group Inc.</x:v>
      </x:c>
      <x:c r="V17" s="38" t="str">
        <x:v>Broey. &amp; Broken Blythe / Create Music Group Inc.</x:v>
      </x:c>
      <x:c r="W17" s="38" t="str">
        <x:v>No</x:v>
      </x:c>
      <x:c r="X17" s="38" t="str">
        <x:v>No</x:v>
      </x:c>
      <x:c r="Y17" s="38" t="str">
        <x:v>Joseph Montaro (Arranger), Broken Blythe (Lyricist), Broken Blythe (Arranger)</x:v>
      </x:c>
      <x:c r="Z17" s="38" t="str">
        <x:v>Broken Blythe</x:v>
      </x:c>
      <x:c r="AA17" s="38" t="str">
        <x:v>Joseph Montaro (Arranger), Broken Blythe (Lyricist), Broken Blythe (Arranger)</x:v>
      </x:c>
      <x:c r="AB17" s="38" t="str">
        <x:v>50% Broey. / 50% Broken Blythe</x:v>
      </x:c>
      <x:c r="AC17" s="38" t="str">
        <x:v>A vocal drum &amp; bass/jungle collaboration with a soft emotional core and forward-motion percussion.</x:v>
      </x:c>
      <x:c r="AD17" s="38" t="str">
        <x:v>Metadata confirmed by Label Engine distribution confirmation; Audius performance claim should be verified if used prominently.</x:v>
      </x:c>
      <x:c r="AE17" s="38" t="str">
        <x:v>Label Engine distribution confirmation + pasted release submission/SFA copy</x:v>
      </x:c>
      <x:c r="AF17" s="38" t="str">
        <x:v>Confirmed</x:v>
      </x:c>
    </x:row>
    <x:row r="18" ht="54" customHeight="1">
      <x:c r="A18" s="38" t="str">
        <x:v>dancing-dumpster-fire</x:v>
      </x:c>
      <x:c r="B18" s="38" t="str">
        <x:v>/music/dancing-dumpster-fire</x:v>
      </x:c>
      <x:c r="C18" s="38" t="str">
        <x:v>dancing dumpster fire</x:v>
      </x:c>
      <x:c r="D18" s="50" t="n">
        <x:v>45871</x:v>
      </x:c>
      <x:c r="E18" s="38" t="n">
        <x:v>1</x:v>
      </x:c>
      <x:c r="F18" s="38" t="str">
        <x:v>shake!</x:v>
      </x:c>
      <x:c r="G18" s="38" t="str">
        <x:v>shake!</x:v>
      </x:c>
      <x:c r="H18" s="38" t="str"/>
      <x:c r="I18" s="38" t="str">
        <x:v>Broey.</x:v>
      </x:c>
      <x:c r="J18" s="38" t="str">
        <x:v>Broey.</x:v>
      </x:c>
      <x:c r="K18" s="38" t="str"/>
      <x:c r="L18" s="38" t="str"/>
      <x:c r="M18" s="38" t="str">
        <x:v>03:51</x:v>
      </x:c>
      <x:c r="N18" s="38" t="str">
        <x:v>QZTGW2405541</x:v>
      </x:c>
      <x:c r="O18" s="38" t="str">
        <x:v>Electronic</x:v>
      </x:c>
      <x:c r="P18" s="38" t="str">
        <x:v>UK Garage / Bassline</x:v>
      </x:c>
      <x:c r="Q18" s="38" t="str">
        <x:v>UK Garage / Bassline</x:v>
      </x:c>
      <x:c r="R18" s="38" t="str">
        <x:v>0:39-1:39</x:v>
      </x:c>
      <x:c r="S18" s="38" t="str">
        <x:v>BMI</x:v>
      </x:c>
      <x:c r="T18" s="38" t="str">
        <x:v>Joseph Montaro</x:v>
      </x:c>
      <x:c r="U18" s="38" t="str">
        <x:v>Broey. / Create Music Group Inc.</x:v>
      </x:c>
      <x:c r="V18" s="38" t="str">
        <x:v>Broey. / Create Music Group Inc.</x:v>
      </x:c>
      <x:c r="W18" s="38" t="str">
        <x:v>No</x:v>
      </x:c>
      <x:c r="X18" s="38" t="str">
        <x:v>No</x:v>
      </x:c>
      <x:c r="Y18" s="38" t="str">
        <x:v>Joseph Montaro (Arranger)</x:v>
      </x:c>
      <x:c r="Z18" s="38" t="str">
        <x:v>NONE</x:v>
      </x:c>
      <x:c r="AA18" s="38" t="str">
        <x:v>Joseph Montaro (Arranger)</x:v>
      </x:c>
      <x:c r="AB18" s="38" t="str">
        <x:v>100% Broey.</x:v>
      </x:c>
      <x:c r="AC18" s="38" t="str">
        <x:v>The EP’s focus track: manic UKG movement and playful chaos.</x:v>
      </x:c>
      <x:c r="AD18" s="38" t="str">
        <x:v>Confirmed DDF track.</x:v>
      </x:c>
      <x:c r="AE18" s="38" t="str">
        <x:v>Label Engine confirmation + uploaded dancing dumpster fire CMG sheet</x:v>
      </x:c>
      <x:c r="AF18" s="38" t="str">
        <x:v>Confirmed</x:v>
      </x:c>
    </x:row>
    <x:row r="19" ht="54" customHeight="1">
      <x:c r="A19" s="38" t="str">
        <x:v>dancing-dumpster-fire</x:v>
      </x:c>
      <x:c r="B19" s="38" t="str">
        <x:v>/music/dancing-dumpster-fire</x:v>
      </x:c>
      <x:c r="C19" s="38" t="str">
        <x:v>dancing dumpster fire</x:v>
      </x:c>
      <x:c r="D19" s="50" t="n">
        <x:v>45871</x:v>
      </x:c>
      <x:c r="E19" s="38" t="n">
        <x:v>2</x:v>
      </x:c>
      <x:c r="F19" s="38" t="str">
        <x:v>old fashion</x:v>
      </x:c>
      <x:c r="G19" s="38" t="str">
        <x:v>old fashion</x:v>
      </x:c>
      <x:c r="H19" s="38" t="str"/>
      <x:c r="I19" s="38" t="str">
        <x:v>Broey.</x:v>
      </x:c>
      <x:c r="J19" s="38" t="str">
        <x:v>Broey.</x:v>
      </x:c>
      <x:c r="K19" s="38" t="str"/>
      <x:c r="L19" s="38" t="str"/>
      <x:c r="M19" s="38" t="str">
        <x:v>03:03</x:v>
      </x:c>
      <x:c r="N19" s="38" t="str">
        <x:v>QZTGW2405542</x:v>
      </x:c>
      <x:c r="O19" s="38" t="str">
        <x:v>Electronic</x:v>
      </x:c>
      <x:c r="P19" s="38" t="str">
        <x:v>UK Garage / Bassline</x:v>
      </x:c>
      <x:c r="Q19" s="38" t="str">
        <x:v>UK Garage / Bassline</x:v>
      </x:c>
      <x:c r="R19" s="38" t="str">
        <x:v>2:00-3:00</x:v>
      </x:c>
      <x:c r="S19" s="38" t="str">
        <x:v>BMI</x:v>
      </x:c>
      <x:c r="T19" s="38" t="str">
        <x:v>Joseph Montaro</x:v>
      </x:c>
      <x:c r="U19" s="38" t="str">
        <x:v>Broey. / Create Music Group Inc.</x:v>
      </x:c>
      <x:c r="V19" s="38" t="str">
        <x:v>Broey. / Create Music Group Inc.</x:v>
      </x:c>
      <x:c r="W19" s="38" t="str">
        <x:v>No</x:v>
      </x:c>
      <x:c r="X19" s="38" t="str">
        <x:v>No</x:v>
      </x:c>
      <x:c r="Y19" s="38" t="str">
        <x:v>Joseph Montaro (Arranger)</x:v>
      </x:c>
      <x:c r="Z19" s="38" t="str">
        <x:v>NONE</x:v>
      </x:c>
      <x:c r="AA19" s="38" t="str">
        <x:v>Joseph Montaro (Arranger)</x:v>
      </x:c>
      <x:c r="AB19" s="38" t="str">
        <x:v>100% Broey.</x:v>
      </x:c>
      <x:c r="AC19" s="38" t="str">
        <x:v>A compact UKG cut with a late-night, loose-edged feel.</x:v>
      </x:c>
      <x:c r="AD19" s="38" t="str">
        <x:v>Confirmed DDF track.</x:v>
      </x:c>
      <x:c r="AE19" s="38" t="str">
        <x:v>Label Engine confirmation + uploaded dancing dumpster fire CMG sheet</x:v>
      </x:c>
      <x:c r="AF19" s="38" t="str">
        <x:v>Confirmed</x:v>
      </x:c>
    </x:row>
    <x:row r="20" ht="54" customHeight="1">
      <x:c r="A20" s="38" t="str">
        <x:v>dancing-dumpster-fire</x:v>
      </x:c>
      <x:c r="B20" s="38" t="str">
        <x:v>/music/dancing-dumpster-fire</x:v>
      </x:c>
      <x:c r="C20" s="38" t="str">
        <x:v>dancing dumpster fire</x:v>
      </x:c>
      <x:c r="D20" s="50" t="n">
        <x:v>45871</x:v>
      </x:c>
      <x:c r="E20" s="38" t="n">
        <x:v>3</x:v>
      </x:c>
      <x:c r="F20" s="38" t="str">
        <x:v>lil luv</x:v>
      </x:c>
      <x:c r="G20" s="38" t="str">
        <x:v>lil luv</x:v>
      </x:c>
      <x:c r="H20" s="38" t="str"/>
      <x:c r="I20" s="38" t="str">
        <x:v>Broey.</x:v>
      </x:c>
      <x:c r="J20" s="38" t="str">
        <x:v>Broey.</x:v>
      </x:c>
      <x:c r="K20" s="38" t="str"/>
      <x:c r="L20" s="38" t="str"/>
      <x:c r="M20" s="38" t="str">
        <x:v>02:22</x:v>
      </x:c>
      <x:c r="N20" s="38" t="str">
        <x:v>QZTGW2405543</x:v>
      </x:c>
      <x:c r="O20" s="38" t="str">
        <x:v>Electronic</x:v>
      </x:c>
      <x:c r="P20" s="38" t="str">
        <x:v>UK Garage / Bassline</x:v>
      </x:c>
      <x:c r="Q20" s="38" t="str">
        <x:v>UK Garage / Bassline</x:v>
      </x:c>
      <x:c r="R20" s="38" t="str">
        <x:v>1:10-2:10</x:v>
      </x:c>
      <x:c r="S20" s="38" t="str">
        <x:v>BMI</x:v>
      </x:c>
      <x:c r="T20" s="38" t="str">
        <x:v>Joseph Montaro</x:v>
      </x:c>
      <x:c r="U20" s="38" t="str">
        <x:v>Broey. / Create Music Group Inc.</x:v>
      </x:c>
      <x:c r="V20" s="38" t="str">
        <x:v>Broey. / Create Music Group Inc.</x:v>
      </x:c>
      <x:c r="W20" s="38" t="str">
        <x:v>No</x:v>
      </x:c>
      <x:c r="X20" s="38" t="str">
        <x:v>No</x:v>
      </x:c>
      <x:c r="Y20" s="38" t="str">
        <x:v>Joseph Montaro (Arranger)</x:v>
      </x:c>
      <x:c r="Z20" s="38" t="str">
        <x:v>NONE</x:v>
      </x:c>
      <x:c r="AA20" s="38" t="str">
        <x:v>Joseph Montaro (Arranger)</x:v>
      </x:c>
      <x:c r="AB20" s="38" t="str">
        <x:v>100% Broey.</x:v>
      </x:c>
      <x:c r="AC20" s="38" t="str">
        <x:v>A lighter melodic pocket inside the EP’s dance-floor messiness.</x:v>
      </x:c>
      <x:c r="AD20" s="38" t="str">
        <x:v>Confirmed DDF track.</x:v>
      </x:c>
      <x:c r="AE20" s="38" t="str">
        <x:v>Label Engine confirmation + uploaded dancing dumpster fire CMG sheet</x:v>
      </x:c>
      <x:c r="AF20" s="38" t="str">
        <x:v>Confirmed</x:v>
      </x:c>
    </x:row>
    <x:row r="21" ht="54" customHeight="1">
      <x:c r="A21" s="38" t="str">
        <x:v>dancing-dumpster-fire</x:v>
      </x:c>
      <x:c r="B21" s="38" t="str">
        <x:v>/music/dancing-dumpster-fire</x:v>
      </x:c>
      <x:c r="C21" s="38" t="str">
        <x:v>dancing dumpster fire</x:v>
      </x:c>
      <x:c r="D21" s="50" t="n">
        <x:v>45871</x:v>
      </x:c>
      <x:c r="E21" s="38" t="n">
        <x:v>4</x:v>
      </x:c>
      <x:c r="F21" s="38" t="str">
        <x:v>brainrot (feat. Vivid Fever Dreams)</x:v>
      </x:c>
      <x:c r="G21" s="38" t="str">
        <x:v>brainrot</x:v>
      </x:c>
      <x:c r="H21" s="38" t="str"/>
      <x:c r="I21" s="38" t="str">
        <x:v>Broey.</x:v>
      </x:c>
      <x:c r="J21" s="38" t="str">
        <x:v>Broey.</x:v>
      </x:c>
      <x:c r="K21" s="38" t="str"/>
      <x:c r="L21" s="38" t="str">
        <x:v>Vivid Fever Dreams</x:v>
      </x:c>
      <x:c r="M21" s="38" t="str">
        <x:v>03:37</x:v>
      </x:c>
      <x:c r="N21" s="38" t="str">
        <x:v>QZTGW2405544</x:v>
      </x:c>
      <x:c r="O21" s="38" t="str">
        <x:v>Electronic</x:v>
      </x:c>
      <x:c r="P21" s="38" t="str">
        <x:v>UK Garage / Bassline</x:v>
      </x:c>
      <x:c r="Q21" s="38" t="str">
        <x:v>UK Garage / Bassline</x:v>
      </x:c>
      <x:c r="R21" s="38" t="str">
        <x:v>0:15-1:15</x:v>
      </x:c>
      <x:c r="S21" s="38" t="str">
        <x:v>BMI</x:v>
      </x:c>
      <x:c r="T21" s="38" t="str">
        <x:v>Joseph Montaro</x:v>
      </x:c>
      <x:c r="U21" s="38" t="str">
        <x:v>Broey. / Create Music Group Inc.</x:v>
      </x:c>
      <x:c r="V21" s="38" t="str">
        <x:v>Broey. / Create Music Group Inc.</x:v>
      </x:c>
      <x:c r="W21" s="38" t="str">
        <x:v>No</x:v>
      </x:c>
      <x:c r="X21" s="38" t="str">
        <x:v>No</x:v>
      </x:c>
      <x:c r="Y21" s="38" t="str">
        <x:v>Joseph Montaro (Arranger)</x:v>
      </x:c>
      <x:c r="Z21" s="38" t="str">
        <x:v>NONE</x:v>
      </x:c>
      <x:c r="AA21" s="38" t="str">
        <x:v>Joseph Montaro (Arranger)</x:v>
      </x:c>
      <x:c r="AB21" s="38" t="str">
        <x:v>50% / 50% per uploaded sheet; confirmation lists Joseph Montaro</x:v>
      </x:c>
      <x:c r="AC21" s="38" t="str">
        <x:v>A meme-era UKG track that leans into the project’s chaotic title and humor.</x:v>
      </x:c>
      <x:c r="AD21" s="38" t="str">
        <x:v>Source conflict: uploaded CMG sheet shows 50/50 split and feature; distribution confirmation lists copyright holder as Joseph Montaro.</x:v>
      </x:c>
      <x:c r="AE21" s="38" t="str">
        <x:v>Label Engine confirmation + uploaded dancing dumpster fire CMG sheet</x:v>
      </x:c>
      <x:c r="AF21" s="38" t="str">
        <x:v>Confirmed; split note on track 4</x:v>
      </x:c>
    </x:row>
    <x:row r="22" ht="54" customHeight="1">
      <x:c r="A22" s="38" t="str">
        <x:v>dancing-dumpster-fire</x:v>
      </x:c>
      <x:c r="B22" s="38" t="str">
        <x:v>/music/dancing-dumpster-fire</x:v>
      </x:c>
      <x:c r="C22" s="38" t="str">
        <x:v>dancing dumpster fire</x:v>
      </x:c>
      <x:c r="D22" s="50" t="n">
        <x:v>45871</x:v>
      </x:c>
      <x:c r="E22" s="38" t="n">
        <x:v>5</x:v>
      </x:c>
      <x:c r="F22" s="38" t="str">
        <x:v>glfm</x:v>
      </x:c>
      <x:c r="G22" s="38" t="str">
        <x:v>glfm</x:v>
      </x:c>
      <x:c r="H22" s="38" t="str"/>
      <x:c r="I22" s="38" t="str">
        <x:v>Broey.</x:v>
      </x:c>
      <x:c r="J22" s="38" t="str">
        <x:v>Broey.</x:v>
      </x:c>
      <x:c r="K22" s="38" t="str"/>
      <x:c r="L22" s="38" t="str"/>
      <x:c r="M22" s="38" t="str">
        <x:v>03:30</x:v>
      </x:c>
      <x:c r="N22" s="38" t="str">
        <x:v>QZTGW2405545</x:v>
      </x:c>
      <x:c r="O22" s="38" t="str">
        <x:v>Dance</x:v>
      </x:c>
      <x:c r="P22" s="38" t="str">
        <x:v>Trance (Main Floor)</x:v>
      </x:c>
      <x:c r="Q22" s="38" t="str">
        <x:v>Trance</x:v>
      </x:c>
      <x:c r="R22" s="38" t="str">
        <x:v>0:44-1:44</x:v>
      </x:c>
      <x:c r="S22" s="38" t="str">
        <x:v>BMI</x:v>
      </x:c>
      <x:c r="T22" s="38" t="str">
        <x:v>Joseph Montaro</x:v>
      </x:c>
      <x:c r="U22" s="38" t="str">
        <x:v>Broey. / Create Music Group Inc.</x:v>
      </x:c>
      <x:c r="V22" s="38" t="str">
        <x:v>Broey. / Create Music Group Inc.</x:v>
      </x:c>
      <x:c r="W22" s="38" t="str">
        <x:v>No</x:v>
      </x:c>
      <x:c r="X22" s="38" t="str">
        <x:v>No</x:v>
      </x:c>
      <x:c r="Y22" s="38" t="str">
        <x:v>Joseph Montaro (Arranger)</x:v>
      </x:c>
      <x:c r="Z22" s="38" t="str">
        <x:v>NONE</x:v>
      </x:c>
      <x:c r="AA22" s="38" t="str">
        <x:v>Joseph Montaro (Arranger)</x:v>
      </x:c>
      <x:c r="AB22" s="38" t="str">
        <x:v>100% Broey.</x:v>
      </x:c>
      <x:c r="AC22" s="38" t="str">
        <x:v>A trance-facing burst that broadens the EP beyond UKG.</x:v>
      </x:c>
      <x:c r="AD22" s="38" t="str">
        <x:v>Confirmed DDF track.</x:v>
      </x:c>
      <x:c r="AE22" s="38" t="str">
        <x:v>Label Engine confirmation + uploaded dancing dumpster fire CMG sheet</x:v>
      </x:c>
      <x:c r="AF22" s="38" t="str">
        <x:v>Confirmed</x:v>
      </x:c>
    </x:row>
    <x:row r="23" ht="54" customHeight="1">
      <x:c r="A23" s="38" t="str">
        <x:v>dancing-dumpster-fire</x:v>
      </x:c>
      <x:c r="B23" s="38" t="str">
        <x:v>/music/dancing-dumpster-fire</x:v>
      </x:c>
      <x:c r="C23" s="38" t="str">
        <x:v>dancing dumpster fire</x:v>
      </x:c>
      <x:c r="D23" s="50" t="n">
        <x:v>45871</x:v>
      </x:c>
      <x:c r="E23" s="38" t="n">
        <x:v>6</x:v>
      </x:c>
      <x:c r="F23" s="38" t="str">
        <x:v>i can do better (broey. remix)</x:v>
      </x:c>
      <x:c r="G23" s="38" t="str">
        <x:v>i can do better</x:v>
      </x:c>
      <x:c r="H23" s="38" t="str">
        <x:v>broey. remix</x:v>
      </x:c>
      <x:c r="I23" s="38" t="str">
        <x:v>Broey., DreamEater, Broken Blythe</x:v>
      </x:c>
      <x:c r="J23" s="38" t="str">
        <x:v>Broey., DreamEater, Broken Blythe</x:v>
      </x:c>
      <x:c r="K23" s="38" t="str">
        <x:v>broey.</x:v>
      </x:c>
      <x:c r="L23" s="38" t="str"/>
      <x:c r="M23" s="38" t="str">
        <x:v>03:15</x:v>
      </x:c>
      <x:c r="N23" s="38" t="str">
        <x:v>QZTGW2405546</x:v>
      </x:c>
      <x:c r="O23" s="38" t="str">
        <x:v>Electronic</x:v>
      </x:c>
      <x:c r="P23" s="38" t="str">
        <x:v>UK Garage / Bassline</x:v>
      </x:c>
      <x:c r="Q23" s="38" t="str">
        <x:v>UK Garage / Bassline</x:v>
      </x:c>
      <x:c r="R23" s="38" t="str">
        <x:v>0:15-1:15</x:v>
      </x:c>
      <x:c r="S23" s="38" t="str">
        <x:v>BMI</x:v>
      </x:c>
      <x:c r="T23" s="38" t="str">
        <x:v>Joseph Montaro, Nicholas Scyoc, Julian Blythe</x:v>
      </x:c>
      <x:c r="U23" s="38" t="str">
        <x:v>Broey. / Create Music Group Inc.</x:v>
      </x:c>
      <x:c r="V23" s="38" t="str">
        <x:v>Broey. / Create Music Group Inc.</x:v>
      </x:c>
      <x:c r="W23" s="38" t="str">
        <x:v>No</x:v>
      </x:c>
      <x:c r="X23" s="38" t="str">
        <x:v>No</x:v>
      </x:c>
      <x:c r="Y23" s="38" t="str">
        <x:v>Joseph Montaro (Arranger), DreamEater (Arranger), Broken Blythe (Arranger), Broken Blythe (Lyricist), Julian Blythe (Lyricist)</x:v>
      </x:c>
      <x:c r="Z23" s="38" t="str">
        <x:v>Broken Blythe, Julian Blythe</x:v>
      </x:c>
      <x:c r="AA23" s="38" t="str">
        <x:v>Joseph Montaro (Arranger), DreamEater (Arranger), Broken Blythe (Arranger), Broken Blythe (Lyricist), Julian Blythe (Lyricist)</x:v>
      </x:c>
      <x:c r="AB23" s="38" t="str">
        <x:v>33% / 33% / 33%</x:v>
      </x:c>
      <x:c r="AC23" s="38" t="str">
        <x:v>A remix collaboration that folds vocal energy into Broey.’s UKG-centered palette.</x:v>
      </x:c>
      <x:c r="AD23" s="38" t="str">
        <x:v>Confirmed DDF track.</x:v>
      </x:c>
      <x:c r="AE23" s="38" t="str">
        <x:v>Label Engine confirmation + uploaded dancing dumpster fire CMG sheet</x:v>
      </x:c>
      <x:c r="AF23" s="38" t="str">
        <x:v>Confirmed</x:v>
      </x:c>
    </x:row>
    <x:row r="24" ht="54" customHeight="1">
      <x:c r="A24" s="38" t="str">
        <x:v>dancing-dumpster-fire</x:v>
      </x:c>
      <x:c r="B24" s="38" t="str">
        <x:v>/music/dancing-dumpster-fire</x:v>
      </x:c>
      <x:c r="C24" s="38" t="str">
        <x:v>dancing dumpster fire</x:v>
      </x:c>
      <x:c r="D24" s="50" t="n">
        <x:v>45871</x:v>
      </x:c>
      <x:c r="E24" s="38" t="n">
        <x:v>7</x:v>
      </x:c>
      <x:c r="F24" s="38" t="str">
        <x:v>4u vip</x:v>
      </x:c>
      <x:c r="G24" s="38" t="str">
        <x:v>4u vip</x:v>
      </x:c>
      <x:c r="H24" s="38" t="str"/>
      <x:c r="I24" s="38" t="str">
        <x:v>Broey., notminimal.</x:v>
      </x:c>
      <x:c r="J24" s="38" t="str">
        <x:v>Broey., notminimal.</x:v>
      </x:c>
      <x:c r="K24" s="38" t="str"/>
      <x:c r="L24" s="38" t="str"/>
      <x:c r="M24" s="38" t="str">
        <x:v>02:22</x:v>
      </x:c>
      <x:c r="N24" s="38" t="str">
        <x:v>QZTGW2405547</x:v>
      </x:c>
      <x:c r="O24" s="38" t="str">
        <x:v>Electronic</x:v>
      </x:c>
      <x:c r="P24" s="38" t="str">
        <x:v>UK Garage / Bassline</x:v>
      </x:c>
      <x:c r="Q24" s="38" t="str">
        <x:v>UK Garage / Bassline</x:v>
      </x:c>
      <x:c r="R24" s="38" t="str">
        <x:v>1:26-2:22</x:v>
      </x:c>
      <x:c r="S24" s="38" t="str">
        <x:v>BMI</x:v>
      </x:c>
      <x:c r="T24" s="38" t="str">
        <x:v>Joseph Montaro, Alberto Cicala</x:v>
      </x:c>
      <x:c r="U24" s="38" t="str">
        <x:v>Broey. / Create Music Group Inc.</x:v>
      </x:c>
      <x:c r="V24" s="38" t="str">
        <x:v>Broey. / Create Music Group Inc.</x:v>
      </x:c>
      <x:c r="W24" s="38" t="str">
        <x:v>No</x:v>
      </x:c>
      <x:c r="X24" s="38" t="str">
        <x:v>No</x:v>
      </x:c>
      <x:c r="Y24" s="38" t="str">
        <x:v>Joseph Montaro (Arranger), notminimal. (Arranger)</x:v>
      </x:c>
      <x:c r="Z24" s="38" t="str">
        <x:v>NONE</x:v>
      </x:c>
      <x:c r="AA24" s="38" t="str">
        <x:v>Joseph Montaro (Arranger), notminimal. (Arranger)</x:v>
      </x:c>
      <x:c r="AB24" s="38" t="str">
        <x:v>50% / 50%</x:v>
      </x:c>
      <x:c r="AC24" s="38" t="str">
        <x:v>A tighter VIP take on “4u” that connects the EP back to the Broey./notminimal. collaboration.</x:v>
      </x:c>
      <x:c r="AD24" s="38" t="str">
        <x:v>Confirmed DDF track.</x:v>
      </x:c>
      <x:c r="AE24" s="38" t="str">
        <x:v>Label Engine confirmation + uploaded dancing dumpster fire CMG sheet</x:v>
      </x:c>
      <x:c r="AF24" s="38" t="str">
        <x:v>Confirmed</x:v>
      </x:c>
    </x:row>
    <x:row r="25" ht="54" customHeight="1">
      <x:c r="A25" s="38" t="str">
        <x:v>stereo-luv</x:v>
      </x:c>
      <x:c r="B25" s="38" t="str">
        <x:v>/music/stereo-luv</x:v>
      </x:c>
      <x:c r="C25" s="38" t="str">
        <x:v>STEREO LUV</x:v>
      </x:c>
      <x:c r="D25" s="50" t="n">
        <x:v>45933</x:v>
      </x:c>
      <x:c r="E25" s="38" t="n">
        <x:v>1</x:v>
      </x:c>
      <x:c r="F25" s="38" t="str">
        <x:v>STEREO LUV</x:v>
      </x:c>
      <x:c r="G25" s="38" t="str">
        <x:v>STEREO LUV</x:v>
      </x:c>
      <x:c r="H25" s="38" t="str"/>
      <x:c r="I25" s="38" t="str">
        <x:v>Broey.</x:v>
      </x:c>
      <x:c r="J25" s="38" t="str">
        <x:v>Broey.</x:v>
      </x:c>
      <x:c r="K25" s="38" t="str"/>
      <x:c r="L25" s="38" t="str"/>
      <x:c r="M25" s="38" t="str">
        <x:v>05:12</x:v>
      </x:c>
      <x:c r="N25" s="38" t="str">
        <x:v>QZTGW2406985</x:v>
      </x:c>
      <x:c r="O25" s="38" t="str">
        <x:v>Dance</x:v>
      </x:c>
      <x:c r="P25" s="38" t="str">
        <x:v>Deep House</x:v>
      </x:c>
      <x:c r="Q25" s="38" t="str">
        <x:v>Deep House</x:v>
      </x:c>
      <x:c r="R25" s="38" t="str">
        <x:v>3:56-4:56</x:v>
      </x:c>
      <x:c r="S25" s="38" t="str">
        <x:v>BMI</x:v>
      </x:c>
      <x:c r="T25" s="38" t="str">
        <x:v>Joseph Montaro</x:v>
      </x:c>
      <x:c r="U25" s="38" t="str">
        <x:v>Broey. / Create Music Group Inc.</x:v>
      </x:c>
      <x:c r="V25" s="38" t="str">
        <x:v>Broey. / Create Music Group Inc.</x:v>
      </x:c>
      <x:c r="W25" s="38" t="str">
        <x:v>No</x:v>
      </x:c>
      <x:c r="X25" s="38" t="str">
        <x:v>No</x:v>
      </x:c>
      <x:c r="Y25" s="38" t="str">
        <x:v>Joseph Montaro: Producer, Arranger, Musician</x:v>
      </x:c>
      <x:c r="Z25" s="38" t="str">
        <x:v>NONE</x:v>
      </x:c>
      <x:c r="AA25" s="38" t="str">
        <x:v>Joseph Montaro: Producer, Arranger, Musician</x:v>
      </x:c>
      <x:c r="AB25" s="38" t="str">
        <x:v>Joseph Montaro 100%</x:v>
      </x:c>
      <x:c r="AC25" s="38" t="str">
        <x:v>A dusty deep-house groove built to showcase analog warmth and a wide stereo field.</x:v>
      </x:c>
      <x:c r="AD25" s="38" t="str">
        <x:v>Official title is STEREO LUV; submission narrative used “Stereo Love.”</x:v>
      </x:c>
      <x:c r="AE25" s="38" t="str">
        <x:v>Label Engine distribution confirmation + pasted submission</x:v>
      </x:c>
      <x:c r="AF25" s="38" t="str">
        <x:v>Confirmed</x:v>
      </x:c>
    </x:row>
    <x:row r="26" ht="54" customHeight="1">
      <x:c r="A26" s="38" t="str">
        <x:v>blu</x:v>
      </x:c>
      <x:c r="B26" s="38" t="str">
        <x:v>/music/blu</x:v>
      </x:c>
      <x:c r="C26" s="38" t="str">
        <x:v>blu.</x:v>
      </x:c>
      <x:c r="D26" s="50" t="n">
        <x:v>46059</x:v>
      </x:c>
      <x:c r="E26" s="38" t="n">
        <x:v>1</x:v>
      </x:c>
      <x:c r="F26" s="38" t="str">
        <x:v>blu. (radio version)</x:v>
      </x:c>
      <x:c r="G26" s="38" t="str">
        <x:v>blu.</x:v>
      </x:c>
      <x:c r="H26" s="38" t="str">
        <x:v>radio version</x:v>
      </x:c>
      <x:c r="I26" s="38" t="str">
        <x:v>Broey.</x:v>
      </x:c>
      <x:c r="J26" s="38" t="str">
        <x:v>Broey.</x:v>
      </x:c>
      <x:c r="K26" s="38" t="str"/>
      <x:c r="L26" s="38" t="str"/>
      <x:c r="M26" s="38" t="str">
        <x:v>04:08</x:v>
      </x:c>
      <x:c r="N26" s="38" t="str">
        <x:v>QZTGW2600186</x:v>
      </x:c>
      <x:c r="O26" s="38" t="str">
        <x:v>Electronic</x:v>
      </x:c>
      <x:c r="P26" s="38" t="str">
        <x:v>Deep House</x:v>
      </x:c>
      <x:c r="Q26" s="38" t="str">
        <x:v>Deep House</x:v>
      </x:c>
      <x:c r="R26" s="38" t="str"/>
      <x:c r="S26" s="38" t="str">
        <x:v>BMI</x:v>
      </x:c>
      <x:c r="T26" s="38" t="str">
        <x:v>Broey.</x:v>
      </x:c>
      <x:c r="U26" s="38" t="str">
        <x:v>Broey. / Create Music Group Inc.</x:v>
      </x:c>
      <x:c r="V26" s="38" t="str">
        <x:v>Broey. / Create Music Group Inc.</x:v>
      </x:c>
      <x:c r="W26" s="38" t="str">
        <x:v>No</x:v>
      </x:c>
      <x:c r="X26" s="38" t="str">
        <x:v>No</x:v>
      </x:c>
      <x:c r="Y26" s="38" t="str">
        <x:v>Joseph Montaro: Mastering Engineer, Mixing Engineer, Producer, Songwriter, Musician</x:v>
      </x:c>
      <x:c r="Z26" s="38" t="str">
        <x:v>NONE</x:v>
      </x:c>
      <x:c r="AA26" s="38" t="str">
        <x:v>Joseph Montaro: Mastering Engineer, Mixing Engineer, Producer, Songwriter, Musician</x:v>
      </x:c>
      <x:c r="AB26" s="38" t="str"/>
      <x:c r="AC26" s="38" t="str">
        <x:v>The concise edit of “blu.” for standard listening contexts.</x:v>
      </x:c>
      <x:c r="AD26" s="38" t="str">
        <x:v>Core metadata confirmed; add fuller story copy when available.</x:v>
      </x:c>
      <x:c r="AE26" s="38" t="str">
        <x:v>Label Engine distribution confirmation</x:v>
      </x:c>
      <x:c r="AF26" s="38" t="str">
        <x:v>Confirmed core metadata; copy partial</x:v>
      </x:c>
    </x:row>
    <x:row r="27" ht="54" customHeight="1">
      <x:c r="A27" s="38" t="str">
        <x:v>blu</x:v>
      </x:c>
      <x:c r="B27" s="38" t="str">
        <x:v>/music/blu</x:v>
      </x:c>
      <x:c r="C27" s="38" t="str">
        <x:v>blu.</x:v>
      </x:c>
      <x:c r="D27" s="50" t="n">
        <x:v>46059</x:v>
      </x:c>
      <x:c r="E27" s="38" t="n">
        <x:v>2</x:v>
      </x:c>
      <x:c r="F27" s="38" t="str">
        <x:v>blu. (extended mix)</x:v>
      </x:c>
      <x:c r="G27" s="38" t="str">
        <x:v>blu.</x:v>
      </x:c>
      <x:c r="H27" s="38" t="str">
        <x:v>extended mix</x:v>
      </x:c>
      <x:c r="I27" s="38" t="str">
        <x:v>Broey.</x:v>
      </x:c>
      <x:c r="J27" s="38" t="str">
        <x:v>Broey.</x:v>
      </x:c>
      <x:c r="K27" s="38" t="str"/>
      <x:c r="L27" s="38" t="str"/>
      <x:c r="M27" s="38" t="str">
        <x:v>05:20</x:v>
      </x:c>
      <x:c r="N27" s="38" t="str">
        <x:v>QZTGW2600187</x:v>
      </x:c>
      <x:c r="O27" s="38" t="str">
        <x:v>Electronic</x:v>
      </x:c>
      <x:c r="P27" s="38" t="str">
        <x:v>Deep House</x:v>
      </x:c>
      <x:c r="Q27" s="38" t="str">
        <x:v>Deep House</x:v>
      </x:c>
      <x:c r="R27" s="38" t="str"/>
      <x:c r="S27" s="38" t="str">
        <x:v>BMI</x:v>
      </x:c>
      <x:c r="T27" s="38" t="str">
        <x:v>Broey.</x:v>
      </x:c>
      <x:c r="U27" s="38" t="str">
        <x:v>Broey. / Create Music Group Inc.</x:v>
      </x:c>
      <x:c r="V27" s="38" t="str">
        <x:v>Broey. / Create Music Group Inc.</x:v>
      </x:c>
      <x:c r="W27" s="38" t="str">
        <x:v>No</x:v>
      </x:c>
      <x:c r="X27" s="38" t="str">
        <x:v>No</x:v>
      </x:c>
      <x:c r="Y27" s="38" t="str">
        <x:v>Joseph Montaro: Mastering Engineer, Mixing Engineer, Producer, Songwriter, Musician</x:v>
      </x:c>
      <x:c r="Z27" s="38" t="str">
        <x:v>NONE</x:v>
      </x:c>
      <x:c r="AA27" s="38" t="str">
        <x:v>Joseph Montaro: Mastering Engineer, Mixing Engineer, Producer, Songwriter, Musician</x:v>
      </x:c>
      <x:c r="AB27" s="38" t="str"/>
      <x:c r="AC27" s="38" t="str">
        <x:v>The longer club-facing mix of “blu.” with more room for the groove to breathe.</x:v>
      </x:c>
      <x:c r="AD27" s="38" t="str">
        <x:v>Core metadata confirmed; add fuller story copy when available.</x:v>
      </x:c>
      <x:c r="AE27" s="38" t="str">
        <x:v>Label Engine distribution confirmation</x:v>
      </x:c>
      <x:c r="AF27" s="38" t="str">
        <x:v>Confirmed core metadata; copy partial</x:v>
      </x:c>
    </x:row>
  </x:sheetData>
  <x:conditionalFormatting sqref="AF2:AF500">
    <x:cfRule type="expression" dxfId="3" priority="1">
      <x:formula>LEFT(AF2,7)="Partial"</x:formula>
    </x:cfRule>
    <x:cfRule type="expression" dxfId="4" priority="2">
      <x:formula>LEFT(AF2,9)="Confirmed"</x:formula>
    </x:cfRule>
  </x:conditionalFormatting>
  <x:pageMargins left="0.7" right="0.7" top="0.75" bottom="0.75" header="0.3" footer="0.3"/>
  <x:tableParts count="1">
    <x:tablePart xmlns:r="http://schemas.openxmlformats.org/officeDocument/2006/relationships" r:id="Rfa7345965cf744bb"/>
  </x:tableParts>
</x:worksheet>
</file>

<file path=xl/worksheets/sheet5.xml><?xml version="1.0" encoding="utf-8"?>
<x:worksheet xmlns:x="http://schemas.openxmlformats.org/spreadsheetml/2006/main">
  <x:sheetFormatPr defaultRowHeight="15"/>
  <x:cols>
    <x:col min="1" max="1" width="28" hidden="0" customWidth="1"/>
    <x:col min="2" max="2" width="14" hidden="0" customWidth="1"/>
    <x:col min="3" max="3" width="22" hidden="0" customWidth="1"/>
    <x:col min="4" max="4" width="10" hidden="0" customWidth="1"/>
    <x:col min="5" max="5" width="28" hidden="0" customWidth="1"/>
    <x:col min="6" max="6" width="80" hidden="0" customWidth="1"/>
    <x:col min="7" max="7" width="24" hidden="0" customWidth="1"/>
    <x:col min="8" max="8" width="20" hidden="0" customWidth="1"/>
    <x:col min="9" max="9" width="42" hidden="0" customWidth="1"/>
  </x:cols>
  <x:sheetData>
    <x:row r="1" ht="42" customHeight="1">
      <x:c r="A1" s="37" t="str">
        <x:v>Copy ID</x:v>
      </x:c>
      <x:c r="B1" s="37" t="str">
        <x:v>Scope</x:v>
      </x:c>
      <x:c r="C1" s="37" t="str">
        <x:v>Release Slug</x:v>
      </x:c>
      <x:c r="D1" s="37" t="str">
        <x:v>Track #</x:v>
      </x:c>
      <x:c r="E1" s="37" t="str">
        <x:v>Placement</x:v>
      </x:c>
      <x:c r="F1" s="37" t="str">
        <x:v>Suggested Copy</x:v>
      </x:c>
      <x:c r="G1" s="37" t="str">
        <x:v>Tone / Positioning</x:v>
      </x:c>
      <x:c r="H1" s="37" t="str">
        <x:v>Claim Sensitivity</x:v>
      </x:c>
      <x:c r="I1" s="37" t="str">
        <x:v>Source Notes</x:v>
      </x:c>
    </x:row>
    <x:row r="2" ht="54" customHeight="1">
      <x:c r="A2" s="38" t="str">
        <x:v>fragments:card</x:v>
      </x:c>
      <x:c r="B2" s="38" t="str">
        <x:v>Release</x:v>
      </x:c>
      <x:c r="C2" s="38" t="str">
        <x:v>fragments</x:v>
      </x:c>
      <x:c r="D2" s="38" t="str"/>
      <x:c r="E2" s="38" t="str">
        <x:v>Release card / music grid</x:v>
      </x:c>
      <x:c r="F2" s="38" t="str">
        <x:v>Broey.’s dance-focused EP: a set of house-leaning electronic tracks built from club energy, personal snapshots, and genre-crossing fragments of influence.</x:v>
      </x:c>
      <x:c r="G2" s="38" t="str">
        <x:v>Concise, catalog-facing</x:v>
      </x:c>
      <x:c r="H2" s="38" t="str">
        <x:v>Low</x:v>
      </x:c>
      <x:c r="I2" s="38" t="str">
        <x:v>Label Engine distribution confirmation + uploaded CMG release sheet + pasted SFA copy</x:v>
      </x:c>
    </x:row>
    <x:row r="3" ht="54" customHeight="1">
      <x:c r="A3" s="38" t="str">
        <x:v>fragments:page</x:v>
      </x:c>
      <x:c r="B3" s="38" t="str">
        <x:v>Release</x:v>
      </x:c>
      <x:c r="C3" s="38" t="str">
        <x:v>fragments</x:v>
      </x:c>
      <x:c r="D3" s="38" t="str"/>
      <x:c r="E3" s="38" t="str">
        <x:v>Release page body</x:v>
      </x:c>
      <x:c r="F3" s="38" t="str">
        <x:v>Fragments is an electronic dance EP built around the energy that first pulled Broey. into dance music. It blends classic house, electro-pop and broader club influences into a personal collection of tracks that move between euphoria, reflection and momentum.</x:v>
      </x:c>
      <x:c r="G3" s="38" t="str">
        <x:v>Narrative / artist context</x:v>
      </x:c>
      <x:c r="H3" s="38" t="str">
        <x:v>Low</x:v>
      </x:c>
      <x:c r="I3" s="38" t="str">
        <x:v>Label Engine distribution confirmation + uploaded CMG release sheet + pasted SFA copy</x:v>
      </x:c>
    </x:row>
    <x:row r="4" ht="54" customHeight="1">
      <x:c r="A4" s="38" t="str">
        <x:v>fragments:seo</x:v>
      </x:c>
      <x:c r="B4" s="38" t="str">
        <x:v>Release</x:v>
      </x:c>
      <x:c r="C4" s="38" t="str">
        <x:v>fragments</x:v>
      </x:c>
      <x:c r="D4" s="38" t="str"/>
      <x:c r="E4" s="38" t="str">
        <x:v>SEO meta description</x:v>
      </x:c>
      <x:c r="F4" s="38" t="str">
        <x:v>Broey.’s dance-focused EP: a set of house-leaning electronic tracks built from club energy, personal snapshots, and genre-crossing fragments of influence.</x:v>
      </x:c>
      <x:c r="G4" s="38" t="str">
        <x:v>Search/result snippet</x:v>
      </x:c>
      <x:c r="H4" s="38" t="str">
        <x:v>Low</x:v>
      </x:c>
      <x:c r="I4" s="38" t="str">
        <x:v>Derived from Website Summary</x:v>
      </x:c>
    </x:row>
    <x:row r="5" ht="54" customHeight="1">
      <x:c r="A5" s="38" t="str">
        <x:v>fragments-remixes:card</x:v>
      </x:c>
      <x:c r="B5" s="38" t="str">
        <x:v>Release</x:v>
      </x:c>
      <x:c r="C5" s="38" t="str">
        <x:v>fragments-remixes</x:v>
      </x:c>
      <x:c r="D5" s="38" t="str"/>
      <x:c r="E5" s="38" t="str">
        <x:v>Release card / music grid</x:v>
      </x:c>
      <x:c r="F5" s="38" t="str">
        <x:v>A seven-track remix companion that reimagines Fragments through bass house, UK garage, jungle, dubstep, trap, wave and old-school house perspectives.</x:v>
      </x:c>
      <x:c r="G5" s="38" t="str">
        <x:v>Concise, catalog-facing</x:v>
      </x:c>
      <x:c r="H5" s="38" t="str">
        <x:v>Low</x:v>
      </x:c>
      <x:c r="I5" s="38" t="str">
        <x:v>Label Engine distribution confirmations + uploaded CMG release sheet + pasted SFA copy</x:v>
      </x:c>
    </x:row>
    <x:row r="6" ht="54" customHeight="1">
      <x:c r="A6" s="38" t="str">
        <x:v>fragments-remixes:page</x:v>
      </x:c>
      <x:c r="B6" s="38" t="str">
        <x:v>Release</x:v>
      </x:c>
      <x:c r="C6" s="38" t="str">
        <x:v>fragments-remixes</x:v>
      </x:c>
      <x:c r="D6" s="38" t="str"/>
      <x:c r="E6" s="38" t="str">
        <x:v>Release page body</x:v>
      </x:c>
      <x:c r="F6" s="38" t="str">
        <x:v>Fragments (Remixes) reframes the original EP as a collaborative remix project. Each contributor pushes a different part of the source material into a new lane, turning the project into a tour through underground electronic styles while keeping the spirit of Fragments intact.</x:v>
      </x:c>
      <x:c r="G6" s="38" t="str">
        <x:v>Narrative / artist context</x:v>
      </x:c>
      <x:c r="H6" s="38" t="str">
        <x:v>Low</x:v>
      </x:c>
      <x:c r="I6" s="38" t="str">
        <x:v>Label Engine distribution confirmations + uploaded CMG release sheet + pasted SFA copy</x:v>
      </x:c>
    </x:row>
    <x:row r="7" ht="54" customHeight="1">
      <x:c r="A7" s="38" t="str">
        <x:v>fragments-remixes:seo</x:v>
      </x:c>
      <x:c r="B7" s="38" t="str">
        <x:v>Release</x:v>
      </x:c>
      <x:c r="C7" s="38" t="str">
        <x:v>fragments-remixes</x:v>
      </x:c>
      <x:c r="D7" s="38" t="str"/>
      <x:c r="E7" s="38" t="str">
        <x:v>SEO meta description</x:v>
      </x:c>
      <x:c r="F7" s="38" t="str">
        <x:v>A seven-track remix companion that reimagines Fragments through bass house, UK garage, jungle, dubstep, trap, wave and old-school house perspectives.</x:v>
      </x:c>
      <x:c r="G7" s="38" t="str">
        <x:v>Search/result snippet</x:v>
      </x:c>
      <x:c r="H7" s="38" t="str">
        <x:v>Low</x:v>
      </x:c>
      <x:c r="I7" s="38" t="str">
        <x:v>Derived from Website Summary</x:v>
      </x:c>
    </x:row>
    <x:row r="8" ht="54" customHeight="1">
      <x:c r="A8" s="38" t="str">
        <x:v>4u:card</x:v>
      </x:c>
      <x:c r="B8" s="38" t="str">
        <x:v>Release</x:v>
      </x:c>
      <x:c r="C8" s="38" t="str">
        <x:v>4u</x:v>
      </x:c>
      <x:c r="D8" s="38" t="str"/>
      <x:c r="E8" s="38" t="str">
        <x:v>Release card / music grid</x:v>
      </x:c>
      <x:c r="F8" s="38" t="str">
        <x:v>A bright UKG/bassline collaboration between Broey. and notminimal., built around shared energy, dancefloor momentum and cross-country creative chemistry.</x:v>
      </x:c>
      <x:c r="G8" s="38" t="str">
        <x:v>Concise, catalog-facing</x:v>
      </x:c>
      <x:c r="H8" s="38" t="str">
        <x:v>Low</x:v>
      </x:c>
      <x:c r="I8" s="38" t="str">
        <x:v>Label Engine distribution confirmation + pasted release submission/SFA copy</x:v>
      </x:c>
    </x:row>
    <x:row r="9" ht="54" customHeight="1">
      <x:c r="A9" s="38" t="str">
        <x:v>4u:page</x:v>
      </x:c>
      <x:c r="B9" s="38" t="str">
        <x:v>Release</x:v>
      </x:c>
      <x:c r="C9" s="38" t="str">
        <x:v>4u</x:v>
      </x:c>
      <x:c r="D9" s="38" t="str"/>
      <x:c r="E9" s="38" t="str">
        <x:v>Release page body</x:v>
      </x:c>
      <x:c r="F9" s="38" t="str">
        <x:v>4u came together through an organic collaboration between Broey. and notminimal. The track is less about a fixed narrative and more about the joy of two like-minded artists making something energetic, danceable and fun for the sake of the shared creative spark.</x:v>
      </x:c>
      <x:c r="G9" s="38" t="str">
        <x:v>Narrative / artist context</x:v>
      </x:c>
      <x:c r="H9" s="38" t="str">
        <x:v>Medium</x:v>
      </x:c>
      <x:c r="I9" s="38" t="str">
        <x:v>Label Engine distribution confirmation + pasted release submission/SFA copy</x:v>
      </x:c>
    </x:row>
    <x:row r="10" ht="54" customHeight="1">
      <x:c r="A10" s="38" t="str">
        <x:v>4u:seo</x:v>
      </x:c>
      <x:c r="B10" s="38" t="str">
        <x:v>Release</x:v>
      </x:c>
      <x:c r="C10" s="38" t="str">
        <x:v>4u</x:v>
      </x:c>
      <x:c r="D10" s="38" t="str"/>
      <x:c r="E10" s="38" t="str">
        <x:v>SEO meta description</x:v>
      </x:c>
      <x:c r="F10" s="38" t="str">
        <x:v>A bright UKG/bassline collaboration between Broey. and notminimal., built around shared energy, dancefloor momentum and cross-country creative chemistry.</x:v>
      </x:c>
      <x:c r="G10" s="38" t="str">
        <x:v>Search/result snippet</x:v>
      </x:c>
      <x:c r="H10" s="38" t="str">
        <x:v>Low</x:v>
      </x:c>
      <x:c r="I10" s="38" t="str">
        <x:v>Derived from Website Summary</x:v>
      </x:c>
    </x:row>
    <x:row r="11" ht="54" customHeight="1">
      <x:c r="A11" s="38" t="str">
        <x:v>mean-something:card</x:v>
      </x:c>
      <x:c r="B11" s="38" t="str">
        <x:v>Release</x:v>
      </x:c>
      <x:c r="C11" s="38" t="str">
        <x:v>mean-something</x:v>
      </x:c>
      <x:c r="D11" s="38" t="str"/>
      <x:c r="E11" s="38" t="str">
        <x:v>Release card / music grid</x:v>
      </x:c>
      <x:c r="F11" s="38" t="str">
        <x:v>A reflective alternative electronic single built in a quick burst of inspiration, marking a more personal and chill-leaning direction for Broey.</x:v>
      </x:c>
      <x:c r="G11" s="38" t="str">
        <x:v>Concise, catalog-facing</x:v>
      </x:c>
      <x:c r="H11" s="38" t="str">
        <x:v>Low</x:v>
      </x:c>
      <x:c r="I11" s="38" t="str">
        <x:v>Label Engine distribution confirmation + pasted release submission/SFA copy</x:v>
      </x:c>
    </x:row>
    <x:row r="12" ht="54" customHeight="1">
      <x:c r="A12" s="38" t="str">
        <x:v>mean-something:page</x:v>
      </x:c>
      <x:c r="B12" s="38" t="str">
        <x:v>Release</x:v>
      </x:c>
      <x:c r="C12" s="38" t="str">
        <x:v>mean-something</x:v>
      </x:c>
      <x:c r="D12" s="38" t="str"/>
      <x:c r="E12" s="38" t="str">
        <x:v>Release page body</x:v>
      </x:c>
      <x:c r="F12" s="38" t="str">
        <x:v>Mean Something was created from a prompt to make something personal and true to Broey.’s artistic identity. The track came together quickly, following the music rather than overthinking it, and opens a softer, more reflective lane that still feels tied to the sounds that shaped the project.</x:v>
      </x:c>
      <x:c r="G12" s="38" t="str">
        <x:v>Narrative / artist context</x:v>
      </x:c>
      <x:c r="H12" s="38" t="str">
        <x:v>Low</x:v>
      </x:c>
      <x:c r="I12" s="38" t="str">
        <x:v>Label Engine distribution confirmation + pasted release submission/SFA copy</x:v>
      </x:c>
    </x:row>
    <x:row r="13" ht="54" customHeight="1">
      <x:c r="A13" s="38" t="str">
        <x:v>mean-something:seo</x:v>
      </x:c>
      <x:c r="B13" s="38" t="str">
        <x:v>Release</x:v>
      </x:c>
      <x:c r="C13" s="38" t="str">
        <x:v>mean-something</x:v>
      </x:c>
      <x:c r="D13" s="38" t="str"/>
      <x:c r="E13" s="38" t="str">
        <x:v>SEO meta description</x:v>
      </x:c>
      <x:c r="F13" s="38" t="str">
        <x:v>A reflective alternative electronic single built in a quick burst of inspiration, marking a more personal and chill-leaning direction for Broey.</x:v>
      </x:c>
      <x:c r="G13" s="38" t="str">
        <x:v>Search/result snippet</x:v>
      </x:c>
      <x:c r="H13" s="38" t="str">
        <x:v>Low</x:v>
      </x:c>
      <x:c r="I13" s="38" t="str">
        <x:v>Derived from Website Summary</x:v>
      </x:c>
    </x:row>
    <x:row r="14" ht="54" customHeight="1">
      <x:c r="A14" s="38" t="str">
        <x:v>i-cant-wait-for-love:card</x:v>
      </x:c>
      <x:c r="B14" s="38" t="str">
        <x:v>Release</x:v>
      </x:c>
      <x:c r="C14" s="38" t="str">
        <x:v>i-cant-wait-for-love</x:v>
      </x:c>
      <x:c r="D14" s="38" t="str"/>
      <x:c r="E14" s="38" t="str">
        <x:v>Release card / music grid</x:v>
      </x:c>
      <x:c r="F14" s="38" t="str">
        <x:v>A vocal drum &amp; bass and jungle collaboration with Broken Blythe, grown from a Bitbird-inspired instrumental into a fan-supported release with early Audius momentum.</x:v>
      </x:c>
      <x:c r="G14" s="38" t="str">
        <x:v>Concise, catalog-facing</x:v>
      </x:c>
      <x:c r="H14" s="38" t="str">
        <x:v>Low</x:v>
      </x:c>
      <x:c r="I14" s="38" t="str">
        <x:v>Label Engine distribution confirmation + pasted release submission/SFA copy</x:v>
      </x:c>
    </x:row>
    <x:row r="15" ht="54" customHeight="1">
      <x:c r="A15" s="38" t="str">
        <x:v>i-cant-wait-for-love:page</x:v>
      </x:c>
      <x:c r="B15" s="38" t="str">
        <x:v>Release</x:v>
      </x:c>
      <x:c r="C15" s="38" t="str">
        <x:v>i-cant-wait-for-love</x:v>
      </x:c>
      <x:c r="D15" s="38" t="str"/>
      <x:c r="E15" s="38" t="str">
        <x:v>Release page body</x:v>
      </x:c>
      <x:c r="F15" s="38" t="str">
        <x:v>I Can't Wait For Love began as an instrumental for Bitbird’s Create Together Volume 5. After Broey. sent it to Broken Blythe, a full vocal came back within 48 hours, turning the sketch into the pair’s first official release after years of creative connection.</x:v>
      </x:c>
      <x:c r="G15" s="38" t="str">
        <x:v>Narrative / artist context</x:v>
      </x:c>
      <x:c r="H15" s="38" t="str">
        <x:v>Medium</x:v>
      </x:c>
      <x:c r="I15" s="38" t="str">
        <x:v>Label Engine distribution confirmation + pasted release submission/SFA copy</x:v>
      </x:c>
    </x:row>
    <x:row r="16" ht="54" customHeight="1">
      <x:c r="A16" s="38" t="str">
        <x:v>i-cant-wait-for-love:seo</x:v>
      </x:c>
      <x:c r="B16" s="38" t="str">
        <x:v>Release</x:v>
      </x:c>
      <x:c r="C16" s="38" t="str">
        <x:v>i-cant-wait-for-love</x:v>
      </x:c>
      <x:c r="D16" s="38" t="str"/>
      <x:c r="E16" s="38" t="str">
        <x:v>SEO meta description</x:v>
      </x:c>
      <x:c r="F16" s="38" t="str">
        <x:v>A vocal drum &amp; bass and jungle collaboration with Broken Blythe, grown from a Bitbird-inspired instrumental into a fan-supported release with early Audius...</x:v>
      </x:c>
      <x:c r="G16" s="38" t="str">
        <x:v>Search/result snippet</x:v>
      </x:c>
      <x:c r="H16" s="38" t="str">
        <x:v>Low</x:v>
      </x:c>
      <x:c r="I16" s="38" t="str">
        <x:v>Derived from Website Summary</x:v>
      </x:c>
    </x:row>
    <x:row r="17" ht="54" customHeight="1">
      <x:c r="A17" s="38" t="str">
        <x:v>dancing-dumpster-fire:card</x:v>
      </x:c>
      <x:c r="B17" s="38" t="str">
        <x:v>Release</x:v>
      </x:c>
      <x:c r="C17" s="38" t="str">
        <x:v>dancing-dumpster-fire</x:v>
      </x:c>
      <x:c r="D17" s="38" t="str"/>
      <x:c r="E17" s="38" t="str">
        <x:v>Release card / music grid</x:v>
      </x:c>
      <x:c r="F17" s="38" t="str">
        <x:v>A chaotic, cathartic EP of raw club sketches — UKG, bassline, trance and speed-house textures made to move without over-polishing the moment.</x:v>
      </x:c>
      <x:c r="G17" s="38" t="str">
        <x:v>Concise, catalog-facing</x:v>
      </x:c>
      <x:c r="H17" s="38" t="str">
        <x:v>Low</x:v>
      </x:c>
      <x:c r="I17" s="38" t="str">
        <x:v>Label Engine distribution confirmation + uploaded CMG release sheet + pasted SFA copy</x:v>
      </x:c>
    </x:row>
    <x:row r="18" ht="54" customHeight="1">
      <x:c r="A18" s="38" t="str">
        <x:v>dancing-dumpster-fire:page</x:v>
      </x:c>
      <x:c r="B18" s="38" t="str">
        <x:v>Release</x:v>
      </x:c>
      <x:c r="C18" s="38" t="str">
        <x:v>dancing-dumpster-fire</x:v>
      </x:c>
      <x:c r="D18" s="38" t="str"/>
      <x:c r="E18" s="38" t="str">
        <x:v>Release page body</x:v>
      </x:c>
      <x:c r="F18" s="38" t="str">
        <x:v>dancing dumpster fire packages late-night, spontaneous tracks into a project that is intentionally messy in the best way. Built from UKG, bassline, trance and club textures, it is about feeling something quickly and dancing through the wreckage instead of sanding every edge down.</x:v>
      </x:c>
      <x:c r="G18" s="38" t="str">
        <x:v>Narrative / artist context</x:v>
      </x:c>
      <x:c r="H18" s="38" t="str">
        <x:v>Medium</x:v>
      </x:c>
      <x:c r="I18" s="38" t="str">
        <x:v>Label Engine distribution confirmation + uploaded CMG release sheet + pasted SFA copy</x:v>
      </x:c>
    </x:row>
    <x:row r="19" ht="54" customHeight="1">
      <x:c r="A19" s="38" t="str">
        <x:v>dancing-dumpster-fire:seo</x:v>
      </x:c>
      <x:c r="B19" s="38" t="str">
        <x:v>Release</x:v>
      </x:c>
      <x:c r="C19" s="38" t="str">
        <x:v>dancing-dumpster-fire</x:v>
      </x:c>
      <x:c r="D19" s="38" t="str"/>
      <x:c r="E19" s="38" t="str">
        <x:v>SEO meta description</x:v>
      </x:c>
      <x:c r="F19" s="38" t="str">
        <x:v>A chaotic, cathartic EP of raw club sketches — UKG, bassline, trance and speed-house textures made to move without over-polishing the moment.</x:v>
      </x:c>
      <x:c r="G19" s="38" t="str">
        <x:v>Search/result snippet</x:v>
      </x:c>
      <x:c r="H19" s="38" t="str">
        <x:v>Low</x:v>
      </x:c>
      <x:c r="I19" s="38" t="str">
        <x:v>Derived from Website Summary</x:v>
      </x:c>
    </x:row>
    <x:row r="20" ht="54" customHeight="1">
      <x:c r="A20" s="38" t="str">
        <x:v>stereo-luv:card</x:v>
      </x:c>
      <x:c r="B20" s="38" t="str">
        <x:v>Release</x:v>
      </x:c>
      <x:c r="C20" s="38" t="str">
        <x:v>stereo-luv</x:v>
      </x:c>
      <x:c r="D20" s="38" t="str"/>
      <x:c r="E20" s="38" t="str">
        <x:v>Release card / music grid</x:v>
      </x:c>
      <x:c r="F20" s="38" t="str">
        <x:v>A deep-house single inspired by Broey.’s newly tuned home studio, channeling dusty 90s warmth, analog tools and a wide stereo image.</x:v>
      </x:c>
      <x:c r="G20" s="38" t="str">
        <x:v>Concise, catalog-facing</x:v>
      </x:c>
      <x:c r="H20" s="38" t="str">
        <x:v>Low</x:v>
      </x:c>
      <x:c r="I20" s="38" t="str">
        <x:v>Label Engine distribution confirmation + pasted release submission/SFA copy</x:v>
      </x:c>
    </x:row>
    <x:row r="21" ht="54" customHeight="1">
      <x:c r="A21" s="38" t="str">
        <x:v>stereo-luv:page</x:v>
      </x:c>
      <x:c r="B21" s="38" t="str">
        <x:v>Release</x:v>
      </x:c>
      <x:c r="C21" s="38" t="str">
        <x:v>stereo-luv</x:v>
      </x:c>
      <x:c r="D21" s="38" t="str"/>
      <x:c r="E21" s="38" t="str">
        <x:v>Release page body</x:v>
      </x:c>
      <x:c r="F21" s="38" t="str">
        <x:v>STEREO LUV came together after Broey. treated and calibrated a new home studio space. The track uses drum machines, bass sequencing and samplers to chase a dusty 90s deep-house feel with a modern analog warmth and a noticeably wide stereo field.</x:v>
      </x:c>
      <x:c r="G21" s="38" t="str">
        <x:v>Narrative / artist context</x:v>
      </x:c>
      <x:c r="H21" s="38" t="str">
        <x:v>Low</x:v>
      </x:c>
      <x:c r="I21" s="38" t="str">
        <x:v>Label Engine distribution confirmation + pasted release submission/SFA copy</x:v>
      </x:c>
    </x:row>
    <x:row r="22" ht="54" customHeight="1">
      <x:c r="A22" s="38" t="str">
        <x:v>stereo-luv:seo</x:v>
      </x:c>
      <x:c r="B22" s="38" t="str">
        <x:v>Release</x:v>
      </x:c>
      <x:c r="C22" s="38" t="str">
        <x:v>stereo-luv</x:v>
      </x:c>
      <x:c r="D22" s="38" t="str"/>
      <x:c r="E22" s="38" t="str">
        <x:v>SEO meta description</x:v>
      </x:c>
      <x:c r="F22" s="38" t="str">
        <x:v>A deep-house single inspired by Broey.’s newly tuned home studio, channeling dusty 90s warmth, analog tools and a wide stereo image.</x:v>
      </x:c>
      <x:c r="G22" s="38" t="str">
        <x:v>Search/result snippet</x:v>
      </x:c>
      <x:c r="H22" s="38" t="str">
        <x:v>Low</x:v>
      </x:c>
      <x:c r="I22" s="38" t="str">
        <x:v>Derived from Website Summary</x:v>
      </x:c>
    </x:row>
    <x:row r="23" ht="54" customHeight="1">
      <x:c r="A23" s="38" t="str">
        <x:v>blu:card</x:v>
      </x:c>
      <x:c r="B23" s="38" t="str">
        <x:v>Release</x:v>
      </x:c>
      <x:c r="C23" s="38" t="str">
        <x:v>blu</x:v>
      </x:c>
      <x:c r="D23" s="38" t="str"/>
      <x:c r="E23" s="38" t="str">
        <x:v>Release card / music grid</x:v>
      </x:c>
      <x:c r="F23" s="38" t="str">
        <x:v>A two-version deep-house release built around radio and extended mixes of “blu.”, preserving both a concise edit and a longer club-facing arrangement.</x:v>
      </x:c>
      <x:c r="G23" s="38" t="str">
        <x:v>Concise, catalog-facing</x:v>
      </x:c>
      <x:c r="H23" s="38" t="str">
        <x:v>Low</x:v>
      </x:c>
      <x:c r="I23" s="38" t="str">
        <x:v>Label Engine distribution confirmation</x:v>
      </x:c>
    </x:row>
    <x:row r="24" ht="54" customHeight="1">
      <x:c r="A24" s="38" t="str">
        <x:v>blu:page</x:v>
      </x:c>
      <x:c r="B24" s="38" t="str">
        <x:v>Release</x:v>
      </x:c>
      <x:c r="C24" s="38" t="str">
        <x:v>blu</x:v>
      </x:c>
      <x:c r="D24" s="38" t="str"/>
      <x:c r="E24" s="38" t="str">
        <x:v>Release page body</x:v>
      </x:c>
      <x:c r="F24" s="38" t="str">
        <x:v>blu. is a distribution-confirmed deep-house release with a radio version and an extended mix. The available metadata supports a concise website entry now; fuller artist narrative should be added when available.</x:v>
      </x:c>
      <x:c r="G24" s="38" t="str">
        <x:v>Narrative / artist context</x:v>
      </x:c>
      <x:c r="H24" s="38" t="str">
        <x:v>Low</x:v>
      </x:c>
      <x:c r="I24" s="38" t="str">
        <x:v>Label Engine distribution confirmation</x:v>
      </x:c>
    </x:row>
    <x:row r="25" ht="54" customHeight="1">
      <x:c r="A25" s="38" t="str">
        <x:v>blu:seo</x:v>
      </x:c>
      <x:c r="B25" s="38" t="str">
        <x:v>Release</x:v>
      </x:c>
      <x:c r="C25" s="38" t="str">
        <x:v>blu</x:v>
      </x:c>
      <x:c r="D25" s="38" t="str"/>
      <x:c r="E25" s="38" t="str">
        <x:v>SEO meta description</x:v>
      </x:c>
      <x:c r="F25" s="38" t="str">
        <x:v>A two-version deep-house release built around radio and extended mixes of “blu.”, preserving both a concise edit and a longer club-facing arrangement.</x:v>
      </x:c>
      <x:c r="G25" s="38" t="str">
        <x:v>Search/result snippet</x:v>
      </x:c>
      <x:c r="H25" s="38" t="str">
        <x:v>Low</x:v>
      </x:c>
      <x:c r="I25" s="38" t="str">
        <x:v>Derived from Website Summary</x:v>
      </x:c>
    </x:row>
    <x:row r="26" ht="54" customHeight="1">
      <x:c r="A26" s="38" t="str">
        <x:v>fragments:track-1</x:v>
      </x:c>
      <x:c r="B26" s="38" t="str">
        <x:v>Track</x:v>
      </x:c>
      <x:c r="C26" s="38" t="str">
        <x:v>fragments</x:v>
      </x:c>
      <x:c r="D26" s="38" t="n">
        <x:v>1</x:v>
      </x:c>
      <x:c r="E26" s="38" t="str">
        <x:v>Track blurb / release page tracklist</x:v>
      </x:c>
      <x:c r="F26" s="38" t="str">
        <x:v>A bright dance/electro-pop opener that sets the EP’s kinetic tone.</x:v>
      </x:c>
      <x:c r="G26" s="38" t="str">
        <x:v>Short track description</x:v>
      </x:c>
      <x:c r="H26" s="38" t="str">
        <x:v>Low</x:v>
      </x:c>
      <x:c r="I26" s="38" t="str">
        <x:v>Label Engine confirmation + uploaded Fragments CMG sheet</x:v>
      </x:c>
    </x:row>
    <x:row r="27" ht="54" customHeight="1">
      <x:c r="A27" s="38" t="str">
        <x:v>fragments:track-2</x:v>
      </x:c>
      <x:c r="B27" s="38" t="str">
        <x:v>Track</x:v>
      </x:c>
      <x:c r="C27" s="38" t="str">
        <x:v>fragments</x:v>
      </x:c>
      <x:c r="D27" s="38" t="n">
        <x:v>2</x:v>
      </x:c>
      <x:c r="E27" s="38" t="str">
        <x:v>Track blurb / release page tracklist</x:v>
      </x:c>
      <x:c r="F27" s="38" t="str">
        <x:v>A compact, urgent dance cut that keeps the project moving forward.</x:v>
      </x:c>
      <x:c r="G27" s="38" t="str">
        <x:v>Short track description</x:v>
      </x:c>
      <x:c r="H27" s="38" t="str">
        <x:v>Low</x:v>
      </x:c>
      <x:c r="I27" s="38" t="str">
        <x:v>Label Engine confirmation + uploaded Fragments CMG sheet</x:v>
      </x:c>
    </x:row>
    <x:row r="28" ht="54" customHeight="1">
      <x:c r="A28" s="38" t="str">
        <x:v>fragments:track-3</x:v>
      </x:c>
      <x:c r="B28" s="38" t="str">
        <x:v>Track</x:v>
      </x:c>
      <x:c r="C28" s="38" t="str">
        <x:v>fragments</x:v>
      </x:c>
      <x:c r="D28" s="38" t="n">
        <x:v>3</x:v>
      </x:c>
      <x:c r="E28" s="38" t="str">
        <x:v>Track blurb / release page tracklist</x:v>
      </x:c>
      <x:c r="F28" s="38" t="str">
        <x:v>A melodic dance track with a larger emotional sweep inside the EP’s club palette.</x:v>
      </x:c>
      <x:c r="G28" s="38" t="str">
        <x:v>Short track description</x:v>
      </x:c>
      <x:c r="H28" s="38" t="str">
        <x:v>Low</x:v>
      </x:c>
      <x:c r="I28" s="38" t="str">
        <x:v>Label Engine confirmation + uploaded Fragments CMG sheet</x:v>
      </x:c>
    </x:row>
    <x:row r="29" ht="54" customHeight="1">
      <x:c r="A29" s="38" t="str">
        <x:v>fragments:track-4</x:v>
      </x:c>
      <x:c r="B29" s="38" t="str">
        <x:v>Track</x:v>
      </x:c>
      <x:c r="C29" s="38" t="str">
        <x:v>fragments</x:v>
      </x:c>
      <x:c r="D29" s="38" t="n">
        <x:v>4</x:v>
      </x:c>
      <x:c r="E29" s="38" t="str">
        <x:v>Track blurb / release page tracklist</x:v>
      </x:c>
      <x:c r="F29" s="38" t="str">
        <x:v>A rhythmic, club-facing track that pairs drive with Fragments’ reflective edge.</x:v>
      </x:c>
      <x:c r="G29" s="38" t="str">
        <x:v>Short track description</x:v>
      </x:c>
      <x:c r="H29" s="38" t="str">
        <x:v>Low</x:v>
      </x:c>
      <x:c r="I29" s="38" t="str">
        <x:v>Label Engine confirmation + uploaded Fragments CMG sheet</x:v>
      </x:c>
    </x:row>
    <x:row r="30" ht="54" customHeight="1">
      <x:c r="A30" s="38" t="str">
        <x:v>fragments:track-5</x:v>
      </x:c>
      <x:c r="B30" s="38" t="str">
        <x:v>Track</x:v>
      </x:c>
      <x:c r="C30" s="38" t="str">
        <x:v>fragments</x:v>
      </x:c>
      <x:c r="D30" s="38" t="n">
        <x:v>5</x:v>
      </x:c>
      <x:c r="E30" s="38" t="str">
        <x:v>Track blurb / release page tracklist</x:v>
      </x:c>
      <x:c r="F30" s="38" t="str">
        <x:v>A longer collaborative cut that creates space inside the EP’s high-energy world.</x:v>
      </x:c>
      <x:c r="G30" s="38" t="str">
        <x:v>Short track description</x:v>
      </x:c>
      <x:c r="H30" s="38" t="str">
        <x:v>Low</x:v>
      </x:c>
      <x:c r="I30" s="38" t="str">
        <x:v>Label Engine confirmation + uploaded Fragments CMG sheet</x:v>
      </x:c>
    </x:row>
    <x:row r="31" ht="54" customHeight="1">
      <x:c r="A31" s="38" t="str">
        <x:v>fragments:track-6</x:v>
      </x:c>
      <x:c r="B31" s="38" t="str">
        <x:v>Track</x:v>
      </x:c>
      <x:c r="C31" s="38" t="str">
        <x:v>fragments</x:v>
      </x:c>
      <x:c r="D31" s="38" t="n">
        <x:v>6</x:v>
      </x:c>
      <x:c r="E31" s="38" t="str">
        <x:v>Track blurb / release page tracklist</x:v>
      </x:c>
      <x:c r="F31" s="38" t="str">
        <x:v>A direct, dance-leaning anchor built around motion, focus and repetition.</x:v>
      </x:c>
      <x:c r="G31" s="38" t="str">
        <x:v>Short track description</x:v>
      </x:c>
      <x:c r="H31" s="38" t="str">
        <x:v>Low</x:v>
      </x:c>
      <x:c r="I31" s="38" t="str">
        <x:v>Label Engine confirmation + uploaded Fragments CMG sheet</x:v>
      </x:c>
    </x:row>
    <x:row r="32" ht="54" customHeight="1">
      <x:c r="A32" s="38" t="str">
        <x:v>fragments-remixes:track-1</x:v>
      </x:c>
      <x:c r="B32" s="38" t="str">
        <x:v>Track</x:v>
      </x:c>
      <x:c r="C32" s="38" t="str">
        <x:v>fragments-remixes</x:v>
      </x:c>
      <x:c r="D32" s="38" t="n">
        <x:v>1</x:v>
      </x:c>
      <x:c r="E32" s="38" t="str">
        <x:v>Track blurb / release page tracklist</x:v>
      </x:c>
      <x:c r="F32" s="38" t="str">
        <x:v>A bass-house flip of “Numbers” that pushes the original toward heavier club pressure.</x:v>
      </x:c>
      <x:c r="G32" s="38" t="str">
        <x:v>Short track description</x:v>
      </x:c>
      <x:c r="H32" s="38" t="str">
        <x:v>Low</x:v>
      </x:c>
      <x:c r="I32" s="38" t="str">
        <x:v>Label Engine confirmation + uploaded Fragments Remixes CMG sheet</x:v>
      </x:c>
    </x:row>
    <x:row r="33" ht="54" customHeight="1">
      <x:c r="A33" s="38" t="str">
        <x:v>fragments-remixes:track-2</x:v>
      </x:c>
      <x:c r="B33" s="38" t="str">
        <x:v>Track</x:v>
      </x:c>
      <x:c r="C33" s="38" t="str">
        <x:v>fragments-remixes</x:v>
      </x:c>
      <x:c r="D33" s="38" t="n">
        <x:v>2</x:v>
      </x:c>
      <x:c r="E33" s="38" t="str">
        <x:v>Track blurb / release page tracklist</x:v>
      </x:c>
      <x:c r="F33" s="38" t="str">
        <x:v>A garage/bassline reshape of “Eyes On Me” with sharp movement and dancefloor lift.</x:v>
      </x:c>
      <x:c r="G33" s="38" t="str">
        <x:v>Short track description</x:v>
      </x:c>
      <x:c r="H33" s="38" t="str">
        <x:v>Low</x:v>
      </x:c>
      <x:c r="I33" s="38" t="str">
        <x:v>Label Engine confirmation + uploaded Fragments Remixes CMG sheet</x:v>
      </x:c>
    </x:row>
    <x:row r="34" ht="54" customHeight="1">
      <x:c r="A34" s="38" t="str">
        <x:v>fragments-remixes:track-3</x:v>
      </x:c>
      <x:c r="B34" s="38" t="str">
        <x:v>Track</x:v>
      </x:c>
      <x:c r="C34" s="38" t="str">
        <x:v>fragments-remixes</x:v>
      </x:c>
      <x:c r="D34" s="38" t="n">
        <x:v>3</x:v>
      </x:c>
      <x:c r="E34" s="38" t="str">
        <x:v>Track blurb / release page tracklist</x:v>
      </x:c>
      <x:c r="F34" s="38" t="str">
        <x:v>A UKG/bassline version of “Like That” that highlights notminimal.’s crisp rhythmic touch.</x:v>
      </x:c>
      <x:c r="G34" s="38" t="str">
        <x:v>Short track description</x:v>
      </x:c>
      <x:c r="H34" s="38" t="str">
        <x:v>Low</x:v>
      </x:c>
      <x:c r="I34" s="38" t="str">
        <x:v>Label Engine confirmation + uploaded Fragments Remixes CMG sheet</x:v>
      </x:c>
    </x:row>
    <x:row r="35" ht="54" customHeight="1">
      <x:c r="A35" s="38" t="str">
        <x:v>fragments-remixes:track-4</x:v>
      </x:c>
      <x:c r="B35" s="38" t="str">
        <x:v>Track</x:v>
      </x:c>
      <x:c r="C35" s="38" t="str">
        <x:v>fragments-remixes</x:v>
      </x:c>
      <x:c r="D35" s="38" t="n">
        <x:v>4</x:v>
      </x:c>
      <x:c r="E35" s="38" t="str">
        <x:v>Track blurb / release page tracklist</x:v>
      </x:c>
      <x:c r="F35" s="38" t="str">
        <x:v>A long-form jungle/DnB rework that stretches “Wanted” into a fast, atmospheric journey.</x:v>
      </x:c>
      <x:c r="G35" s="38" t="str">
        <x:v>Short track description</x:v>
      </x:c>
      <x:c r="H35" s="38" t="str">
        <x:v>Low</x:v>
      </x:c>
      <x:c r="I35" s="38" t="str">
        <x:v>Label Engine confirmation + uploaded Fragments Remixes CMG sheet</x:v>
      </x:c>
    </x:row>
    <x:row r="36" ht="54" customHeight="1">
      <x:c r="A36" s="38" t="str">
        <x:v>fragments-remixes:track-5</x:v>
      </x:c>
      <x:c r="B36" s="38" t="str">
        <x:v>Track</x:v>
      </x:c>
      <x:c r="C36" s="38" t="str">
        <x:v>fragments-remixes</x:v>
      </x:c>
      <x:c r="D36" s="38" t="n">
        <x:v>5</x:v>
      </x:c>
      <x:c r="E36" s="38" t="str">
        <x:v>Track blurb / release page tracklist</x:v>
      </x:c>
      <x:c r="F36" s="38" t="str">
        <x:v>A darker dubstep/trap interpretation that turns “Eyes On Me” into a heavier statement.</x:v>
      </x:c>
      <x:c r="G36" s="38" t="str">
        <x:v>Short track description</x:v>
      </x:c>
      <x:c r="H36" s="38" t="str">
        <x:v>Low</x:v>
      </x:c>
      <x:c r="I36" s="38" t="str">
        <x:v>Label Engine confirmation + uploaded Fragments Remixes CMG sheet</x:v>
      </x:c>
    </x:row>
    <x:row r="37" ht="54" customHeight="1">
      <x:c r="A37" s="38" t="str">
        <x:v>fragments-remixes:track-6</x:v>
      </x:c>
      <x:c r="B37" s="38" t="str">
        <x:v>Track</x:v>
      </x:c>
      <x:c r="C37" s="38" t="str">
        <x:v>fragments-remixes</x:v>
      </x:c>
      <x:c r="D37" s="38" t="n">
        <x:v>6</x:v>
      </x:c>
      <x:c r="E37" s="38" t="str">
        <x:v>Track blurb / release page tracklist</x:v>
      </x:c>
      <x:c r="F37" s="38" t="str">
        <x:v>A trap/wave take on “Wanted” that adds atmosphere, weight and melodic space.</x:v>
      </x:c>
      <x:c r="G37" s="38" t="str">
        <x:v>Short track description</x:v>
      </x:c>
      <x:c r="H37" s="38" t="str">
        <x:v>Low</x:v>
      </x:c>
      <x:c r="I37" s="38" t="str">
        <x:v>Label Engine confirmation + uploaded Fragments Remixes CMG sheet</x:v>
      </x:c>
    </x:row>
    <x:row r="38" ht="54" customHeight="1">
      <x:c r="A38" s="38" t="str">
        <x:v>fragments-remixes:track-7</x:v>
      </x:c>
      <x:c r="B38" s="38" t="str">
        <x:v>Track</x:v>
      </x:c>
      <x:c r="C38" s="38" t="str">
        <x:v>fragments-remixes</x:v>
      </x:c>
      <x:c r="D38" s="38" t="n">
        <x:v>7</x:v>
      </x:c>
      <x:c r="E38" s="38" t="str">
        <x:v>Track blurb / release page tracklist</x:v>
      </x:c>
      <x:c r="F38" s="38" t="str">
        <x:v>An old-school house lens on “Eyes On Me,” keeping the source recognizable while changing the room around it.</x:v>
      </x:c>
      <x:c r="G38" s="38" t="str">
        <x:v>Short track description</x:v>
      </x:c>
      <x:c r="H38" s="38" t="str">
        <x:v>Low</x:v>
      </x:c>
      <x:c r="I38" s="38" t="str">
        <x:v>Label Engine confirmation + uploaded Fragments Remixes CMG sheet</x:v>
      </x:c>
    </x:row>
    <x:row r="39" ht="54" customHeight="1">
      <x:c r="A39" s="38" t="str">
        <x:v>4u:track-1</x:v>
      </x:c>
      <x:c r="B39" s="38" t="str">
        <x:v>Track</x:v>
      </x:c>
      <x:c r="C39" s="38" t="str">
        <x:v>4u</x:v>
      </x:c>
      <x:c r="D39" s="38" t="n">
        <x:v>1</x:v>
      </x:c>
      <x:c r="E39" s="38" t="str">
        <x:v>Track blurb / release page tracklist</x:v>
      </x:c>
      <x:c r="F39" s="38" t="str">
        <x:v>A high-energy UKG/bassline collaboration built for movement and shared momentum.</x:v>
      </x:c>
      <x:c r="G39" s="38" t="str">
        <x:v>Short track description</x:v>
      </x:c>
      <x:c r="H39" s="38" t="str">
        <x:v>Low</x:v>
      </x:c>
      <x:c r="I39" s="38" t="str">
        <x:v>Pasted release submission + SFA copy</x:v>
      </x:c>
    </x:row>
    <x:row r="40" ht="54" customHeight="1">
      <x:c r="A40" s="38" t="str">
        <x:v>mean-something:track-1</x:v>
      </x:c>
      <x:c r="B40" s="38" t="str">
        <x:v>Track</x:v>
      </x:c>
      <x:c r="C40" s="38" t="str">
        <x:v>mean-something</x:v>
      </x:c>
      <x:c r="D40" s="38" t="n">
        <x:v>1</x:v>
      </x:c>
      <x:c r="E40" s="38" t="str">
        <x:v>Track blurb / release page tracklist</x:v>
      </x:c>
      <x:c r="F40" s="38" t="str">
        <x:v>A reflective downtempo/alternative electronic single that captures a personal creative pivot.</x:v>
      </x:c>
      <x:c r="G40" s="38" t="str">
        <x:v>Short track description</x:v>
      </x:c>
      <x:c r="H40" s="38" t="str">
        <x:v>Low</x:v>
      </x:c>
      <x:c r="I40" s="38" t="str">
        <x:v>Pasted release submission + SFA copy</x:v>
      </x:c>
    </x:row>
    <x:row r="41" ht="54" customHeight="1">
      <x:c r="A41" s="38" t="str">
        <x:v>i-cant-wait-for-love:track-1</x:v>
      </x:c>
      <x:c r="B41" s="38" t="str">
        <x:v>Track</x:v>
      </x:c>
      <x:c r="C41" s="38" t="str">
        <x:v>i-cant-wait-for-love</x:v>
      </x:c>
      <x:c r="D41" s="38" t="n">
        <x:v>1</x:v>
      </x:c>
      <x:c r="E41" s="38" t="str">
        <x:v>Track blurb / release page tracklist</x:v>
      </x:c>
      <x:c r="F41" s="38" t="str">
        <x:v>A vocal drum &amp; bass/jungle collaboration with a soft emotional core and forward-motion percussion.</x:v>
      </x:c>
      <x:c r="G41" s="38" t="str">
        <x:v>Short track description</x:v>
      </x:c>
      <x:c r="H41" s="38" t="str">
        <x:v>Low</x:v>
      </x:c>
      <x:c r="I41" s="38" t="str">
        <x:v>Pasted release submission + SFA copy</x:v>
      </x:c>
    </x:row>
    <x:row r="42" ht="54" customHeight="1">
      <x:c r="A42" s="38" t="str">
        <x:v>dancing-dumpster-fire:track-1</x:v>
      </x:c>
      <x:c r="B42" s="38" t="str">
        <x:v>Track</x:v>
      </x:c>
      <x:c r="C42" s="38" t="str">
        <x:v>dancing-dumpster-fire</x:v>
      </x:c>
      <x:c r="D42" s="38" t="n">
        <x:v>1</x:v>
      </x:c>
      <x:c r="E42" s="38" t="str">
        <x:v>Track blurb / release page tracklist</x:v>
      </x:c>
      <x:c r="F42" s="38" t="str">
        <x:v>The EP’s focus track: manic UKG movement and playful chaos.</x:v>
      </x:c>
      <x:c r="G42" s="38" t="str">
        <x:v>Short track description</x:v>
      </x:c>
      <x:c r="H42" s="38" t="str">
        <x:v>Low</x:v>
      </x:c>
      <x:c r="I42" s="38" t="str">
        <x:v>Label Engine confirmation + uploaded dancing dumpster fire CMG sheet</x:v>
      </x:c>
    </x:row>
    <x:row r="43" ht="54" customHeight="1">
      <x:c r="A43" s="38" t="str">
        <x:v>dancing-dumpster-fire:track-2</x:v>
      </x:c>
      <x:c r="B43" s="38" t="str">
        <x:v>Track</x:v>
      </x:c>
      <x:c r="C43" s="38" t="str">
        <x:v>dancing-dumpster-fire</x:v>
      </x:c>
      <x:c r="D43" s="38" t="n">
        <x:v>2</x:v>
      </x:c>
      <x:c r="E43" s="38" t="str">
        <x:v>Track blurb / release page tracklist</x:v>
      </x:c>
      <x:c r="F43" s="38" t="str">
        <x:v>A compact UKG cut with a late-night, loose-edged feel.</x:v>
      </x:c>
      <x:c r="G43" s="38" t="str">
        <x:v>Short track description</x:v>
      </x:c>
      <x:c r="H43" s="38" t="str">
        <x:v>Low</x:v>
      </x:c>
      <x:c r="I43" s="38" t="str">
        <x:v>Label Engine confirmation + uploaded dancing dumpster fire CMG sheet</x:v>
      </x:c>
    </x:row>
    <x:row r="44" ht="54" customHeight="1">
      <x:c r="A44" s="38" t="str">
        <x:v>dancing-dumpster-fire:track-3</x:v>
      </x:c>
      <x:c r="B44" s="38" t="str">
        <x:v>Track</x:v>
      </x:c>
      <x:c r="C44" s="38" t="str">
        <x:v>dancing-dumpster-fire</x:v>
      </x:c>
      <x:c r="D44" s="38" t="n">
        <x:v>3</x:v>
      </x:c>
      <x:c r="E44" s="38" t="str">
        <x:v>Track blurb / release page tracklist</x:v>
      </x:c>
      <x:c r="F44" s="38" t="str">
        <x:v>A lighter melodic pocket inside the EP’s dance-floor messiness.</x:v>
      </x:c>
      <x:c r="G44" s="38" t="str">
        <x:v>Short track description</x:v>
      </x:c>
      <x:c r="H44" s="38" t="str">
        <x:v>Low</x:v>
      </x:c>
      <x:c r="I44" s="38" t="str">
        <x:v>Label Engine confirmation + uploaded dancing dumpster fire CMG sheet</x:v>
      </x:c>
    </x:row>
    <x:row r="45" ht="54" customHeight="1">
      <x:c r="A45" s="38" t="str">
        <x:v>dancing-dumpster-fire:track-4</x:v>
      </x:c>
      <x:c r="B45" s="38" t="str">
        <x:v>Track</x:v>
      </x:c>
      <x:c r="C45" s="38" t="str">
        <x:v>dancing-dumpster-fire</x:v>
      </x:c>
      <x:c r="D45" s="38" t="n">
        <x:v>4</x:v>
      </x:c>
      <x:c r="E45" s="38" t="str">
        <x:v>Track blurb / release page tracklist</x:v>
      </x:c>
      <x:c r="F45" s="38" t="str">
        <x:v>A meme-era UKG track that leans into the project’s chaotic title and humor.</x:v>
      </x:c>
      <x:c r="G45" s="38" t="str">
        <x:v>Short track description</x:v>
      </x:c>
      <x:c r="H45" s="38" t="str">
        <x:v>Low</x:v>
      </x:c>
      <x:c r="I45" s="38" t="str">
        <x:v>Label Engine confirmation + uploaded dancing dumpster fire CMG sheet</x:v>
      </x:c>
    </x:row>
    <x:row r="46" ht="54" customHeight="1">
      <x:c r="A46" s="38" t="str">
        <x:v>dancing-dumpster-fire:track-5</x:v>
      </x:c>
      <x:c r="B46" s="38" t="str">
        <x:v>Track</x:v>
      </x:c>
      <x:c r="C46" s="38" t="str">
        <x:v>dancing-dumpster-fire</x:v>
      </x:c>
      <x:c r="D46" s="38" t="n">
        <x:v>5</x:v>
      </x:c>
      <x:c r="E46" s="38" t="str">
        <x:v>Track blurb / release page tracklist</x:v>
      </x:c>
      <x:c r="F46" s="38" t="str">
        <x:v>A trance-facing burst that broadens the EP beyond UKG.</x:v>
      </x:c>
      <x:c r="G46" s="38" t="str">
        <x:v>Short track description</x:v>
      </x:c>
      <x:c r="H46" s="38" t="str">
        <x:v>Low</x:v>
      </x:c>
      <x:c r="I46" s="38" t="str">
        <x:v>Label Engine confirmation + uploaded dancing dumpster fire CMG sheet</x:v>
      </x:c>
    </x:row>
    <x:row r="47" ht="54" customHeight="1">
      <x:c r="A47" s="38" t="str">
        <x:v>dancing-dumpster-fire:track-6</x:v>
      </x:c>
      <x:c r="B47" s="38" t="str">
        <x:v>Track</x:v>
      </x:c>
      <x:c r="C47" s="38" t="str">
        <x:v>dancing-dumpster-fire</x:v>
      </x:c>
      <x:c r="D47" s="38" t="n">
        <x:v>6</x:v>
      </x:c>
      <x:c r="E47" s="38" t="str">
        <x:v>Track blurb / release page tracklist</x:v>
      </x:c>
      <x:c r="F47" s="38" t="str">
        <x:v>A remix collaboration that folds vocal energy into Broey.’s UKG-centered palette.</x:v>
      </x:c>
      <x:c r="G47" s="38" t="str">
        <x:v>Short track description</x:v>
      </x:c>
      <x:c r="H47" s="38" t="str">
        <x:v>Low</x:v>
      </x:c>
      <x:c r="I47" s="38" t="str">
        <x:v>Label Engine confirmation + uploaded dancing dumpster fire CMG sheet</x:v>
      </x:c>
    </x:row>
    <x:row r="48" ht="54" customHeight="1">
      <x:c r="A48" s="38" t="str">
        <x:v>dancing-dumpster-fire:track-7</x:v>
      </x:c>
      <x:c r="B48" s="38" t="str">
        <x:v>Track</x:v>
      </x:c>
      <x:c r="C48" s="38" t="str">
        <x:v>dancing-dumpster-fire</x:v>
      </x:c>
      <x:c r="D48" s="38" t="n">
        <x:v>7</x:v>
      </x:c>
      <x:c r="E48" s="38" t="str">
        <x:v>Track blurb / release page tracklist</x:v>
      </x:c>
      <x:c r="F48" s="38" t="str">
        <x:v>A tighter VIP take on “4u” that connects the EP back to the Broey./notminimal. collaboration.</x:v>
      </x:c>
      <x:c r="G48" s="38" t="str">
        <x:v>Short track description</x:v>
      </x:c>
      <x:c r="H48" s="38" t="str">
        <x:v>Low</x:v>
      </x:c>
      <x:c r="I48" s="38" t="str">
        <x:v>Label Engine confirmation + uploaded dancing dumpster fire CMG sheet</x:v>
      </x:c>
    </x:row>
    <x:row r="49" ht="54" customHeight="1">
      <x:c r="A49" s="38" t="str">
        <x:v>stereo-luv:track-1</x:v>
      </x:c>
      <x:c r="B49" s="38" t="str">
        <x:v>Track</x:v>
      </x:c>
      <x:c r="C49" s="38" t="str">
        <x:v>stereo-luv</x:v>
      </x:c>
      <x:c r="D49" s="38" t="n">
        <x:v>1</x:v>
      </x:c>
      <x:c r="E49" s="38" t="str">
        <x:v>Track blurb / release page tracklist</x:v>
      </x:c>
      <x:c r="F49" s="38" t="str">
        <x:v>A dusty deep-house groove built to showcase analog warmth and a wide stereo field.</x:v>
      </x:c>
      <x:c r="G49" s="38" t="str">
        <x:v>Short track description</x:v>
      </x:c>
      <x:c r="H49" s="38" t="str">
        <x:v>Low</x:v>
      </x:c>
      <x:c r="I49" s="38" t="str">
        <x:v>Label Engine distribution confirmation + pasted submission</x:v>
      </x:c>
    </x:row>
    <x:row r="50" ht="54" customHeight="1">
      <x:c r="A50" s="38" t="str">
        <x:v>blu:track-1</x:v>
      </x:c>
      <x:c r="B50" s="38" t="str">
        <x:v>Track</x:v>
      </x:c>
      <x:c r="C50" s="38" t="str">
        <x:v>blu</x:v>
      </x:c>
      <x:c r="D50" s="38" t="n">
        <x:v>1</x:v>
      </x:c>
      <x:c r="E50" s="38" t="str">
        <x:v>Track blurb / release page tracklist</x:v>
      </x:c>
      <x:c r="F50" s="38" t="str">
        <x:v>The concise edit of “blu.” for standard listening contexts.</x:v>
      </x:c>
      <x:c r="G50" s="38" t="str">
        <x:v>Short track description</x:v>
      </x:c>
      <x:c r="H50" s="38" t="str">
        <x:v>Low</x:v>
      </x:c>
      <x:c r="I50" s="38" t="str">
        <x:v>Label Engine distribution confirmation</x:v>
      </x:c>
    </x:row>
    <x:row r="51" ht="54" customHeight="1">
      <x:c r="A51" s="38" t="str">
        <x:v>blu:track-2</x:v>
      </x:c>
      <x:c r="B51" s="38" t="str">
        <x:v>Track</x:v>
      </x:c>
      <x:c r="C51" s="38" t="str">
        <x:v>blu</x:v>
      </x:c>
      <x:c r="D51" s="38" t="n">
        <x:v>2</x:v>
      </x:c>
      <x:c r="E51" s="38" t="str">
        <x:v>Track blurb / release page tracklist</x:v>
      </x:c>
      <x:c r="F51" s="38" t="str">
        <x:v>The longer club-facing mix of “blu.” with more room for the groove to breathe.</x:v>
      </x:c>
      <x:c r="G51" s="38" t="str">
        <x:v>Short track description</x:v>
      </x:c>
      <x:c r="H51" s="38" t="str">
        <x:v>Low</x:v>
      </x:c>
      <x:c r="I51" s="38" t="str">
        <x:v>Label Engine distribution confirmation</x:v>
      </x:c>
    </x:row>
  </x:sheetData>
  <x:pageMargins left="0.7" right="0.7" top="0.75" bottom="0.75" header="0.3" footer="0.3"/>
  <x:tableParts count="1">
    <x:tablePart xmlns:r="http://schemas.openxmlformats.org/officeDocument/2006/relationships" r:id="R703e5ee9b55444b8"/>
  </x:tableParts>
</x:worksheet>
</file>

<file path=xl/worksheets/sheet6.xml><?xml version="1.0" encoding="utf-8"?>
<x:worksheet xmlns:x="http://schemas.openxmlformats.org/spreadsheetml/2006/main">
  <x:sheetFormatPr defaultRowHeight="15"/>
  <x:cols>
    <x:col min="1" max="1" width="22" hidden="0" customWidth="1"/>
    <x:col min="2" max="2" width="26" hidden="0" customWidth="1"/>
    <x:col min="3" max="3" width="14" hidden="0" customWidth="1"/>
    <x:col min="4" max="4" width="38" hidden="0" customWidth="1"/>
    <x:col min="5" max="5" width="42" hidden="0" customWidth="1"/>
    <x:col min="6" max="6" width="64" hidden="0" customWidth="1"/>
    <x:col min="7" max="7" width="18" hidden="0" customWidth="1"/>
    <x:col min="8" max="8" width="54" hidden="0" customWidth="1"/>
  </x:cols>
  <x:sheetData>
    <x:row r="1" ht="42" customHeight="1">
      <x:c r="A1" s="37" t="str">
        <x:v>Release Slug</x:v>
      </x:c>
      <x:c r="B1" s="37" t="str">
        <x:v>Release Title</x:v>
      </x:c>
      <x:c r="C1" s="37" t="str">
        <x:v>Release Date</x:v>
      </x:c>
      <x:c r="D1" s="37" t="str">
        <x:v>Smart Link / Pre-save</x:v>
      </x:c>
      <x:c r="E1" s="37" t="str">
        <x:v>Listening Link</x:v>
      </x:c>
      <x:c r="F1" s="37" t="str">
        <x:v>Key DSP Availability / Notes</x:v>
      </x:c>
      <x:c r="G1" s="37" t="str">
        <x:v>Link Research Needed?</x:v>
      </x:c>
      <x:c r="H1" s="37" t="str">
        <x:v>Website Link Guidance</x:v>
      </x:c>
    </x:row>
    <x:row r="2" ht="54" customHeight="1">
      <x:c r="A2" s="38" t="str">
        <x:v>fragments</x:v>
      </x:c>
      <x:c r="B2" s="38" t="str">
        <x:v>Fragments</x:v>
      </x:c>
      <x:c r="C2" s="50" t="n">
        <x:v>45380</x:v>
      </x:c>
      <x:c r="D2" s="38" t="str">
        <x:v>https://createmusic.fm/fragments</x:v>
      </x:c>
      <x:c r="E2" s="38" t="str"/>
      <x:c r="F2" s="38" t="str">
        <x:v>Full store list confirmed in Label Engine email; workbook condenses stores instead of storing every row.</x:v>
      </x:c>
      <x:c r="G2" s="38" t="str">
        <x:v>Yes</x:v>
      </x:c>
      <x:c r="H2" s="38" t="str">
        <x:v>Add direct Spotify/Apple/YouTube/Beatport links to website registry when confirmed.</x:v>
      </x:c>
    </x:row>
    <x:row r="3" ht="54" customHeight="1">
      <x:c r="A3" s="38" t="str">
        <x:v>fragments-remixes</x:v>
      </x:c>
      <x:c r="B3" s="38" t="str">
        <x:v>Fragments (Remixes)</x:v>
      </x:c>
      <x:c r="C3" s="50" t="n">
        <x:v>45422</x:v>
      </x:c>
      <x:c r="D3" s="38" t="str">
        <x:v>https://createmusic.fm/fragments-remixes</x:v>
      </x:c>
      <x:c r="E3" s="38" t="str"/>
      <x:c r="F3" s="38" t="str">
        <x:v>Full store list confirmed in Label Engine email; alternate Spotify/delivery entry noted.</x:v>
      </x:c>
      <x:c r="G3" s="38" t="str">
        <x:v>Yes</x:v>
      </x:c>
      <x:c r="H3" s="38" t="str">
        <x:v>Use direct platform links when available; keep Create smart link as fallback.</x:v>
      </x:c>
    </x:row>
    <x:row r="4" ht="54" customHeight="1">
      <x:c r="A4" s="38" t="str">
        <x:v>4u</x:v>
      </x:c>
      <x:c r="B4" s="38" t="str">
        <x:v>4u</x:v>
      </x:c>
      <x:c r="C4" s="67" t="n">
        <x:v>45492</x:v>
      </x:c>
      <x:c r="D4" s="38"/>
      <x:c r="E4" s="38"/>
      <x:c r="F4" s="38" t="str">
        <x:v>Full store list and pre-order date confirmed in Label Engine data. No direct public platform links were supplied in the email.</x:v>
      </x:c>
      <x:c r="G4" s="38" t="str">
        <x:v>Yes</x:v>
      </x:c>
      <x:c r="H4" s="38" t="str">
        <x:v>Collect direct Spotify/Apple/Beatport/SoundCloud/YouTube links; keep release visible without links or use distributor smart link if found.</x:v>
      </x:c>
    </x:row>
    <x:row r="5" ht="54" customHeight="1">
      <x:c r="A5" s="38" t="str">
        <x:v>mean-something</x:v>
      </x:c>
      <x:c r="B5" s="38" t="str">
        <x:v>Mean Something</x:v>
      </x:c>
      <x:c r="C5" s="67" t="n">
        <x:v>45597</x:v>
      </x:c>
      <x:c r="D5" s="38"/>
      <x:c r="E5" s="38"/>
      <x:c r="F5" s="38" t="str">
        <x:v>Full store list confirmed in Label Engine data. No smart link or listening link was supplied in the pasted confirmation.</x:v>
      </x:c>
      <x:c r="G5" s="38" t="str">
        <x:v>Yes</x:v>
      </x:c>
      <x:c r="H5" s="38" t="str">
        <x:v>Collect direct platform links before linking out from the website.</x:v>
      </x:c>
    </x:row>
    <x:row r="6" ht="54" customHeight="1">
      <x:c r="A6" s="38" t="str">
        <x:v>i-cant-wait-for-love</x:v>
      </x:c>
      <x:c r="B6" s="38" t="str">
        <x:v>I Can't Wait For Love</x:v>
      </x:c>
      <x:c r="C6" s="67" t="n">
        <x:v>45779</x:v>
      </x:c>
      <x:c r="D6" s="38" t="str">
        <x:v>https://createmusic.fm/icantwaitforlove</x:v>
      </x:c>
      <x:c r="E6" s="38" t="str">
        <x:v>https://label-engine.com/s/VJJoUAf3eOeIUTT1foaS8w</x:v>
      </x:c>
      <x:c r="F6" s="38" t="str">
        <x:v>Full store list confirmed in Label Engine email; pre-save and private listening links supplied.</x:v>
      </x:c>
      <x:c r="G6" s="38" t="str">
        <x:v>Yes</x:v>
      </x:c>
      <x:c r="H6" s="38" t="str">
        <x:v>Use Create smart link as fallback; collect direct DSP links and optional Audius link for public website.</x:v>
      </x:c>
    </x:row>
    <x:row r="7" ht="54" customHeight="1">
      <x:c r="A7" s="38" t="str">
        <x:v>dancing-dumpster-fire</x:v>
      </x:c>
      <x:c r="B7" s="38" t="str">
        <x:v>dancing dumpster fire</x:v>
      </x:c>
      <x:c r="C7" s="50" t="n">
        <x:v>45871</x:v>
      </x:c>
      <x:c r="D7" s="38" t="str">
        <x:v>https://createmusic.fm/dancingdumpsterfire</x:v>
      </x:c>
      <x:c r="E7" s="38" t="str">
        <x:v>https://label-engine.com/s/SFK0X-wvHB31ytdfJBSw1Q</x:v>
      </x:c>
      <x:c r="F7" s="38" t="str">
        <x:v>Full store list confirmed in Label Engine email including Spotify, Apple Music, Beatport, Tidal, TikTok, YouTube Premium and others.</x:v>
      </x:c>
      <x:c r="G7" s="38" t="str">
        <x:v>Yes</x:v>
      </x:c>
      <x:c r="H7" s="38" t="str">
        <x:v>Use direct platform links when available; Create smart link can be fallback.</x:v>
      </x:c>
    </x:row>
    <x:row r="8" ht="54" customHeight="1">
      <x:c r="A8" s="38" t="str">
        <x:v>stereo-luv</x:v>
      </x:c>
      <x:c r="B8" s="38" t="str">
        <x:v>STEREO LUV</x:v>
      </x:c>
      <x:c r="C8" s="50" t="n">
        <x:v>45933</x:v>
      </x:c>
      <x:c r="D8" s="38" t="str">
        <x:v>https://createmusic.fm/stereoluv</x:v>
      </x:c>
      <x:c r="E8" s="38" t="str">
        <x:v>https://label-engine.com/s/bnieraupH74-tYPonQfzkg</x:v>
      </x:c>
      <x:c r="F8" s="38" t="str">
        <x:v>Full store list confirmed in Label Engine email including Spotify, Apple Music, Beatport, Tidal, TikTok, YouTube Premium and others.</x:v>
      </x:c>
      <x:c r="G8" s="38" t="str">
        <x:v>Yes</x:v>
      </x:c>
      <x:c r="H8" s="38" t="str">
        <x:v>Official title is STEREO LUV. Add direct platform links to content/releases.ts when researched.</x:v>
      </x:c>
    </x:row>
    <x:row r="9" ht="54" customHeight="1">
      <x:c r="A9" s="38" t="str">
        <x:v>blu</x:v>
      </x:c>
      <x:c r="B9" s="38" t="str">
        <x:v>blu.</x:v>
      </x:c>
      <x:c r="C9" s="50" t="n">
        <x:v>46059</x:v>
      </x:c>
      <x:c r="D9" s="38" t="str">
        <x:v>https://createmusic.fm/blu</x:v>
      </x:c>
      <x:c r="E9" s="38" t="str">
        <x:v>https://label-engine.com/s/m-9Du3I_Jw1btq4R66rhqw</x:v>
      </x:c>
      <x:c r="F9" s="38" t="str">
        <x:v>Full store list confirmed in Label Engine email including Spotify, Apple Music, Beatport, Tidal, Qobuz, TikTok, YouTube Premium and others.</x:v>
      </x:c>
      <x:c r="G9" s="38" t="str">
        <x:v>Yes</x:v>
      </x:c>
      <x:c r="H9" s="38" t="str">
        <x:v>Add direct platform links and fuller release copy when available.</x:v>
      </x:c>
    </x:row>
  </x:sheetData>
  <x:pageMargins left="0.7" right="0.7" top="0.75" bottom="0.75" header="0.3" footer="0.3"/>
  <x:tableParts count="1">
    <x:tablePart xmlns:r="http://schemas.openxmlformats.org/officeDocument/2006/relationships" r:id="R5a36bb5382ae45c3"/>
  </x:tableParts>
</x:worksheet>
</file>

<file path=xl/worksheets/sheet7.xml><?xml version="1.0" encoding="utf-8"?>
<x:worksheet xmlns:x="http://schemas.openxmlformats.org/spreadsheetml/2006/main">
  <x:sheetFormatPr defaultRowHeight="15"/>
  <x:cols>
    <x:col min="1" max="1" width="26" hidden="0" customWidth="1"/>
    <x:col min="2" max="2" width="14" hidden="0" customWidth="1"/>
    <x:col min="3" max="3" width="10" hidden="0" customWidth="1"/>
    <x:col min="4" max="4" width="30" hidden="0" customWidth="1"/>
    <x:col min="5" max="5" width="36" hidden="0" customWidth="1"/>
    <x:col min="6" max="6" width="46" hidden="0" customWidth="1"/>
    <x:col min="7" max="7" width="28" hidden="0" customWidth="1"/>
    <x:col min="8" max="8" width="24" hidden="0" customWidth="1"/>
    <x:col min="9" max="9" width="34" hidden="0" customWidth="1"/>
    <x:col min="10" max="10" width="40" hidden="0" customWidth="1"/>
    <x:col min="11" max="11" width="14" hidden="0" customWidth="1"/>
    <x:col min="12" max="12" width="18" hidden="0" customWidth="1"/>
    <x:col min="13" max="13" width="48" hidden="0" customWidth="1"/>
    <x:col min="14" max="14" width="32" hidden="0" customWidth="1"/>
    <x:col min="15" max="15" width="24" hidden="0" customWidth="1"/>
    <x:col min="16" max="16" width="42" hidden="0" customWidth="1"/>
  </x:cols>
  <x:sheetData>
    <x:row r="1" ht="42" customHeight="1">
      <x:c r="A1" s="37" t="str">
        <x:v>Release Title</x:v>
      </x:c>
      <x:c r="B1" s="37" t="str">
        <x:v>Release Date</x:v>
      </x:c>
      <x:c r="C1" s="37" t="str">
        <x:v>Track #</x:v>
      </x:c>
      <x:c r="D1" s="37" t="str">
        <x:v>Track Artists Name</x:v>
      </x:c>
      <x:c r="E1" s="37" t="str">
        <x:v>Track Title</x:v>
      </x:c>
      <x:c r="F1" s="37" t="str">
        <x:v>Has this track been previously distributed by us? If so please add the original ISRC and skip all other questions for this track</x:v>
      </x:c>
      <x:c r="G1" s="37" t="str">
        <x:v>Genre</x:v>
      </x:c>
      <x:c r="H1" s="37" t="str">
        <x:v>60 second Tiktok Timestamp</x:v>
      </x:c>
      <x:c r="I1" s="37" t="str">
        <x:v>Publisher (Publishing Company name and PRO)</x:v>
      </x:c>
      <x:c r="J1" s="37" t="str">
        <x:v>Copyright Holder</x:v>
      </x:c>
      <x:c r="K1" s="37" t="str">
        <x:v>Language</x:v>
      </x:c>
      <x:c r="L1" s="37" t="str">
        <x:v>Is this track explicit?</x:v>
      </x:c>
      <x:c r="M1" s="37" t="str">
        <x:v>Producers</x:v>
      </x:c>
      <x:c r="N1" s="37" t="str">
        <x:v>Lyricists</x:v>
      </x:c>
      <x:c r="O1" s="37" t="str">
        <x:v>Master Splits</x:v>
      </x:c>
      <x:c r="P1" s="37" t="str">
        <x:v>Source</x:v>
      </x:c>
    </x:row>
    <x:row r="2" ht="54" customHeight="1">
      <x:c r="A2" s="38" t="str">
        <x:v>Fragments</x:v>
      </x:c>
      <x:c r="B2" s="50" t="n">
        <x:v>45380</x:v>
      </x:c>
      <x:c r="C2" s="38" t="n">
        <x:v>1</x:v>
      </x:c>
      <x:c r="D2" s="38" t="str">
        <x:v>Broey.</x:v>
      </x:c>
      <x:c r="E2" s="38" t="str">
        <x:v>Like That</x:v>
      </x:c>
      <x:c r="F2" s="38" t="str">
        <x:v>No</x:v>
      </x:c>
      <x:c r="G2" s="38" t="str">
        <x:v>Dance</x:v>
      </x:c>
      <x:c r="H2" s="38" t="str">
        <x:v>00:27-1:27</x:v>
      </x:c>
      <x:c r="I2" s="38" t="str">
        <x:v>No publisher - BMI</x:v>
      </x:c>
      <x:c r="J2" s="38" t="str">
        <x:v>Joseph Montaro</x:v>
      </x:c>
      <x:c r="K2" s="38" t="str">
        <x:v>English</x:v>
      </x:c>
      <x:c r="L2" s="38" t="str">
        <x:v>No</x:v>
      </x:c>
      <x:c r="M2" s="38" t="str">
        <x:v>Broey.</x:v>
      </x:c>
      <x:c r="N2" s="38" t="str">
        <x:v>NONE</x:v>
      </x:c>
      <x:c r="O2" s="38" t="str">
        <x:v>100% Broey.</x:v>
      </x:c>
      <x:c r="P2" s="38" t="str">
        <x:v>Label Engine confirmation + uploaded Fragments CMG sheet</x:v>
      </x:c>
    </x:row>
    <x:row r="3" ht="54" customHeight="1">
      <x:c r="A3" s="38" t="str">
        <x:v>Fragments</x:v>
      </x:c>
      <x:c r="B3" s="50" t="n">
        <x:v>45380</x:v>
      </x:c>
      <x:c r="C3" s="38" t="n">
        <x:v>2</x:v>
      </x:c>
      <x:c r="D3" s="38" t="str">
        <x:v>Broey.</x:v>
      </x:c>
      <x:c r="E3" s="38" t="str">
        <x:v>Run For Cover</x:v>
      </x:c>
      <x:c r="F3" s="38" t="str">
        <x:v>No</x:v>
      </x:c>
      <x:c r="G3" s="38" t="str">
        <x:v>Dance</x:v>
      </x:c>
      <x:c r="H3" s="38" t="str">
        <x:v>00:31-1:31</x:v>
      </x:c>
      <x:c r="I3" s="38" t="str">
        <x:v>No publisher - BMI</x:v>
      </x:c>
      <x:c r="J3" s="38" t="str">
        <x:v>Joseph Montaro</x:v>
      </x:c>
      <x:c r="K3" s="38" t="str">
        <x:v>English</x:v>
      </x:c>
      <x:c r="L3" s="38" t="str">
        <x:v>No</x:v>
      </x:c>
      <x:c r="M3" s="38" t="str">
        <x:v>Broey.</x:v>
      </x:c>
      <x:c r="N3" s="38" t="str">
        <x:v>NONE</x:v>
      </x:c>
      <x:c r="O3" s="38" t="str">
        <x:v>100% Broey.</x:v>
      </x:c>
      <x:c r="P3" s="38" t="str">
        <x:v>Label Engine confirmation + uploaded Fragments CMG sheet</x:v>
      </x:c>
    </x:row>
    <x:row r="4" ht="54" customHeight="1">
      <x:c r="A4" s="38" t="str">
        <x:v>Fragments</x:v>
      </x:c>
      <x:c r="B4" s="50" t="n">
        <x:v>45380</x:v>
      </x:c>
      <x:c r="C4" s="38" t="n">
        <x:v>3</x:v>
      </x:c>
      <x:c r="D4" s="38" t="str">
        <x:v>Broey.</x:v>
      </x:c>
      <x:c r="E4" s="38" t="str">
        <x:v>Wanted</x:v>
      </x:c>
      <x:c r="F4" s="38" t="str">
        <x:v>No</x:v>
      </x:c>
      <x:c r="G4" s="38" t="str">
        <x:v>Dance</x:v>
      </x:c>
      <x:c r="H4" s="38" t="str">
        <x:v>02:38-03:38</x:v>
      </x:c>
      <x:c r="I4" s="38" t="str">
        <x:v>No publisher - BMI</x:v>
      </x:c>
      <x:c r="J4" s="38" t="str">
        <x:v>Joseph Montaro</x:v>
      </x:c>
      <x:c r="K4" s="38" t="str">
        <x:v>English</x:v>
      </x:c>
      <x:c r="L4" s="38" t="str">
        <x:v>No</x:v>
      </x:c>
      <x:c r="M4" s="38" t="str">
        <x:v>Broey.</x:v>
      </x:c>
      <x:c r="N4" s="38" t="str">
        <x:v>NONE</x:v>
      </x:c>
      <x:c r="O4" s="38" t="str">
        <x:v>100% Broey.</x:v>
      </x:c>
      <x:c r="P4" s="38" t="str">
        <x:v>Label Engine confirmation + uploaded Fragments CMG sheet</x:v>
      </x:c>
    </x:row>
    <x:row r="5" ht="54" customHeight="1">
      <x:c r="A5" s="38" t="str">
        <x:v>Fragments</x:v>
      </x:c>
      <x:c r="B5" s="50" t="n">
        <x:v>45380</x:v>
      </x:c>
      <x:c r="C5" s="38" t="n">
        <x:v>4</x:v>
      </x:c>
      <x:c r="D5" s="38" t="str">
        <x:v>Broey.</x:v>
      </x:c>
      <x:c r="E5" s="38" t="str">
        <x:v>Numbers</x:v>
      </x:c>
      <x:c r="F5" s="38" t="str">
        <x:v>No</x:v>
      </x:c>
      <x:c r="G5" s="38" t="str">
        <x:v>Dance</x:v>
      </x:c>
      <x:c r="H5" s="38" t="str">
        <x:v>00:46-1:46</x:v>
      </x:c>
      <x:c r="I5" s="38" t="str">
        <x:v>No publisher - BMI</x:v>
      </x:c>
      <x:c r="J5" s="38" t="str">
        <x:v>Joseph Montaro</x:v>
      </x:c>
      <x:c r="K5" s="38" t="str">
        <x:v>English</x:v>
      </x:c>
      <x:c r="L5" s="38" t="str">
        <x:v>No</x:v>
      </x:c>
      <x:c r="M5" s="38" t="str">
        <x:v>Broey.</x:v>
      </x:c>
      <x:c r="N5" s="38" t="str">
        <x:v>NONE</x:v>
      </x:c>
      <x:c r="O5" s="38" t="str">
        <x:v>100% Broey.</x:v>
      </x:c>
      <x:c r="P5" s="38" t="str">
        <x:v>Label Engine confirmation + uploaded Fragments CMG sheet</x:v>
      </x:c>
    </x:row>
    <x:row r="6" ht="54" customHeight="1">
      <x:c r="A6" s="38" t="str">
        <x:v>Fragments</x:v>
      </x:c>
      <x:c r="B6" s="50" t="n">
        <x:v>45380</x:v>
      </x:c>
      <x:c r="C6" s="38" t="n">
        <x:v>5</x:v>
      </x:c>
      <x:c r="D6" s="38" t="str">
        <x:v>Broey.</x:v>
      </x:c>
      <x:c r="E6" s="38" t="str">
        <x:v>Breathing Room (feat. Vivid Fever Dreams)</x:v>
      </x:c>
      <x:c r="F6" s="38" t="str">
        <x:v>No</x:v>
      </x:c>
      <x:c r="G6" s="38" t="str">
        <x:v>Dance</x:v>
      </x:c>
      <x:c r="H6" s="38" t="str">
        <x:v>01:01-02:01</x:v>
      </x:c>
      <x:c r="I6" s="38" t="str">
        <x:v>No publisher - BMI</x:v>
      </x:c>
      <x:c r="J6" s="38" t="str">
        <x:v>Joseph Montaro / Daniel Hopin</x:v>
      </x:c>
      <x:c r="K6" s="38" t="str">
        <x:v>English</x:v>
      </x:c>
      <x:c r="L6" s="38" t="str">
        <x:v>No</x:v>
      </x:c>
      <x:c r="M6" s="38" t="str">
        <x:v>Broey.</x:v>
      </x:c>
      <x:c r="N6" s="38" t="str">
        <x:v>NONE</x:v>
      </x:c>
      <x:c r="O6" s="38" t="str">
        <x:v>50% / 50%</x:v>
      </x:c>
      <x:c r="P6" s="38" t="str">
        <x:v>Label Engine confirmation + uploaded Fragments CMG sheet</x:v>
      </x:c>
    </x:row>
    <x:row r="7" ht="54" customHeight="1">
      <x:c r="A7" s="38" t="str">
        <x:v>Fragments</x:v>
      </x:c>
      <x:c r="B7" s="50" t="n">
        <x:v>45380</x:v>
      </x:c>
      <x:c r="C7" s="38" t="n">
        <x:v>6</x:v>
      </x:c>
      <x:c r="D7" s="38" t="str">
        <x:v>Broey.</x:v>
      </x:c>
      <x:c r="E7" s="38" t="str">
        <x:v>Eyes On Me</x:v>
      </x:c>
      <x:c r="F7" s="38" t="str">
        <x:v>No</x:v>
      </x:c>
      <x:c r="G7" s="38" t="str">
        <x:v>Dance</x:v>
      </x:c>
      <x:c r="H7" s="38" t="str">
        <x:v>00:45-01:45</x:v>
      </x:c>
      <x:c r="I7" s="38" t="str">
        <x:v>No publisher - BMI</x:v>
      </x:c>
      <x:c r="J7" s="38" t="str">
        <x:v>Joseph Montaro</x:v>
      </x:c>
      <x:c r="K7" s="38" t="str">
        <x:v>English</x:v>
      </x:c>
      <x:c r="L7" s="38" t="str">
        <x:v>No</x:v>
      </x:c>
      <x:c r="M7" s="38" t="str">
        <x:v>Broey.</x:v>
      </x:c>
      <x:c r="N7" s="38" t="str">
        <x:v>NONE</x:v>
      </x:c>
      <x:c r="O7" s="38" t="str">
        <x:v>100% Broey.</x:v>
      </x:c>
      <x:c r="P7" s="38" t="str">
        <x:v>Label Engine confirmation + uploaded Fragments CMG sheet</x:v>
      </x:c>
    </x:row>
    <x:row r="8" ht="54" customHeight="1">
      <x:c r="A8" s="38" t="str">
        <x:v>Fragments (Remixes)</x:v>
      </x:c>
      <x:c r="B8" s="50" t="n">
        <x:v>45422</x:v>
      </x:c>
      <x:c r="C8" s="38" t="n">
        <x:v>1</x:v>
      </x:c>
      <x:c r="D8" s="38" t="str">
        <x:v>Broey., tom_ecko</x:v>
      </x:c>
      <x:c r="E8" s="38" t="str">
        <x:v>Numbers (tom_ecko Remix)</x:v>
      </x:c>
      <x:c r="F8" s="38" t="str">
        <x:v>No</x:v>
      </x:c>
      <x:c r="G8" s="38" t="str">
        <x:v>Bass House</x:v>
      </x:c>
      <x:c r="H8" s="38" t="str">
        <x:v>1:10-2:10</x:v>
      </x:c>
      <x:c r="I8" s="38" t="str">
        <x:v>Copyright Control</x:v>
      </x:c>
      <x:c r="J8" s="38" t="str">
        <x:v>Joseph Montaro &amp; Spencer Tomecko</x:v>
      </x:c>
      <x:c r="K8" s="38" t="str">
        <x:v>English</x:v>
      </x:c>
      <x:c r="L8" s="38" t="str">
        <x:v>No</x:v>
      </x:c>
      <x:c r="M8" s="38" t="str">
        <x:v>Joseph Montaro (Arranger), Spencer Tomecko (Arranger)</x:v>
      </x:c>
      <x:c r="N8" s="38" t="str">
        <x:v>NONE</x:v>
      </x:c>
      <x:c r="O8" s="38" t="str">
        <x:v>50% / 50%</x:v>
      </x:c>
      <x:c r="P8" s="38" t="str">
        <x:v>Label Engine confirmation + uploaded Fragments Remixes CMG sheet</x:v>
      </x:c>
    </x:row>
    <x:row r="9" ht="54" customHeight="1">
      <x:c r="A9" s="38" t="str">
        <x:v>Fragments (Remixes)</x:v>
      </x:c>
      <x:c r="B9" s="50" t="n">
        <x:v>45422</x:v>
      </x:c>
      <x:c r="C9" s="38" t="n">
        <x:v>2</x:v>
      </x:c>
      <x:c r="D9" s="38" t="str">
        <x:v>Broey., dreamsuite</x:v>
      </x:c>
      <x:c r="E9" s="38" t="str">
        <x:v>Eyes On Me (dreamsuite Remix)</x:v>
      </x:c>
      <x:c r="F9" s="38" t="str">
        <x:v>No</x:v>
      </x:c>
      <x:c r="G9" s="38" t="str">
        <x:v>Future Garage / UK Garage</x:v>
      </x:c>
      <x:c r="H9" s="38" t="str">
        <x:v>0:25-1:25</x:v>
      </x:c>
      <x:c r="I9" s="38" t="str">
        <x:v>APRA AMCOS</x:v>
      </x:c>
      <x:c r="J9" s="38" t="str">
        <x:v>Joseph Montaro &amp; Will McKenzie</x:v>
      </x:c>
      <x:c r="K9" s="38" t="str">
        <x:v>English</x:v>
      </x:c>
      <x:c r="L9" s="38" t="str">
        <x:v>No</x:v>
      </x:c>
      <x:c r="M9" s="38" t="str">
        <x:v>Joseph Montaro (Arranger), Will McKenzie (Arranger)</x:v>
      </x:c>
      <x:c r="N9" s="38" t="str">
        <x:v>NONE</x:v>
      </x:c>
      <x:c r="O9" s="38" t="str">
        <x:v>50% / 50%</x:v>
      </x:c>
      <x:c r="P9" s="38" t="str">
        <x:v>Label Engine confirmation + uploaded Fragments Remixes CMG sheet</x:v>
      </x:c>
    </x:row>
    <x:row r="10" ht="54" customHeight="1">
      <x:c r="A10" s="38" t="str">
        <x:v>Fragments (Remixes)</x:v>
      </x:c>
      <x:c r="B10" s="50" t="n">
        <x:v>45422</x:v>
      </x:c>
      <x:c r="C10" s="38" t="n">
        <x:v>3</x:v>
      </x:c>
      <x:c r="D10" s="38" t="str">
        <x:v>Broey., notminimal.</x:v>
      </x:c>
      <x:c r="E10" s="38" t="str">
        <x:v>Like That (notminimal. Remix)</x:v>
      </x:c>
      <x:c r="F10" s="38" t="str">
        <x:v>No</x:v>
      </x:c>
      <x:c r="G10" s="38" t="str">
        <x:v>Future Garage / UK Garage</x:v>
      </x:c>
      <x:c r="H10" s="38" t="str">
        <x:v>0:34-1:34</x:v>
      </x:c>
      <x:c r="I10" s="38" t="str">
        <x:v>BMI</x:v>
      </x:c>
      <x:c r="J10" s="38" t="str">
        <x:v>Joseph Montaro &amp; Alberto Cicala</x:v>
      </x:c>
      <x:c r="K10" s="38" t="str">
        <x:v>English</x:v>
      </x:c>
      <x:c r="L10" s="38" t="str">
        <x:v>No</x:v>
      </x:c>
      <x:c r="M10" s="38" t="str">
        <x:v>Joseph Montaro (Arranger), Alberto Cicala (Arranger)</x:v>
      </x:c>
      <x:c r="N10" s="38" t="str">
        <x:v>NONE</x:v>
      </x:c>
      <x:c r="O10" s="38" t="str">
        <x:v>50% / 50%</x:v>
      </x:c>
      <x:c r="P10" s="38" t="str">
        <x:v>Label Engine confirmation + uploaded Fragments Remixes CMG sheet</x:v>
      </x:c>
    </x:row>
    <x:row r="11" ht="54" customHeight="1">
      <x:c r="A11" s="38" t="str">
        <x:v>Fragments (Remixes)</x:v>
      </x:c>
      <x:c r="B11" s="50" t="n">
        <x:v>45422</x:v>
      </x:c>
      <x:c r="C11" s="38" t="n">
        <x:v>4</x:v>
      </x:c>
      <x:c r="D11" s="38" t="str">
        <x:v>Broey., Almost Anyone</x:v>
      </x:c>
      <x:c r="E11" s="38" t="str">
        <x:v>Wanted (Almost Anyone Remix)</x:v>
      </x:c>
      <x:c r="F11" s="38" t="str">
        <x:v>No</x:v>
      </x:c>
      <x:c r="G11" s="38" t="str">
        <x:v>Jungle / DnB</x:v>
      </x:c>
      <x:c r="H11" s="38" t="str">
        <x:v>1:10-2:10</x:v>
      </x:c>
      <x:c r="I11" s="38" t="str">
        <x:v>Songtrust / PRS</x:v>
      </x:c>
      <x:c r="J11" s="38" t="str">
        <x:v>Joseph Montaro &amp; Alexander Edward Reade</x:v>
      </x:c>
      <x:c r="K11" s="38" t="str">
        <x:v>English</x:v>
      </x:c>
      <x:c r="L11" s="38" t="str">
        <x:v>No</x:v>
      </x:c>
      <x:c r="M11" s="38" t="str">
        <x:v>Alexander Edward Reade (Arranger), Joseph Montaro (Arranger)</x:v>
      </x:c>
      <x:c r="N11" s="38" t="str">
        <x:v>NONE</x:v>
      </x:c>
      <x:c r="O11" s="38" t="str">
        <x:v>50% / 50%</x:v>
      </x:c>
      <x:c r="P11" s="38" t="str">
        <x:v>Label Engine confirmation + uploaded Fragments Remixes CMG sheet</x:v>
      </x:c>
    </x:row>
    <x:row r="12" ht="54" customHeight="1">
      <x:c r="A12" s="38" t="str">
        <x:v>Fragments (Remixes)</x:v>
      </x:c>
      <x:c r="B12" s="50" t="n">
        <x:v>45422</x:v>
      </x:c>
      <x:c r="C12" s="38" t="n">
        <x:v>5</x:v>
      </x:c>
      <x:c r="D12" s="38" t="str">
        <x:v>Broey., Vivid Fever Dreams</x:v>
      </x:c>
      <x:c r="E12" s="38" t="str">
        <x:v>Eyes On Me (Vivid Fever Dreams Remix)</x:v>
      </x:c>
      <x:c r="F12" s="38" t="str">
        <x:v>No</x:v>
      </x:c>
      <x:c r="G12" s="38" t="str">
        <x:v>Dubstep / Trap</x:v>
      </x:c>
      <x:c r="H12" s="38" t="str">
        <x:v>1:18-2:18</x:v>
      </x:c>
      <x:c r="I12" s="38" t="str">
        <x:v>BMI</x:v>
      </x:c>
      <x:c r="J12" s="38" t="str">
        <x:v>Joseph Montaro &amp; Daniel Hopin</x:v>
      </x:c>
      <x:c r="K12" s="38" t="str">
        <x:v>English</x:v>
      </x:c>
      <x:c r="L12" s="38" t="str">
        <x:v>No</x:v>
      </x:c>
      <x:c r="M12" s="38" t="str">
        <x:v>Joseph Montaro (Arranger), Daniel Hopin (Arranger)</x:v>
      </x:c>
      <x:c r="N12" s="38" t="str">
        <x:v>NONE</x:v>
      </x:c>
      <x:c r="O12" s="38" t="str">
        <x:v>50% / 50%</x:v>
      </x:c>
      <x:c r="P12" s="38" t="str">
        <x:v>Label Engine confirmation + uploaded Fragments Remixes CMG sheet</x:v>
      </x:c>
    </x:row>
    <x:row r="13" ht="54" customHeight="1">
      <x:c r="A13" s="38" t="str">
        <x:v>Fragments (Remixes)</x:v>
      </x:c>
      <x:c r="B13" s="50" t="n">
        <x:v>45422</x:v>
      </x:c>
      <x:c r="C13" s="38" t="n">
        <x:v>6</x:v>
      </x:c>
      <x:c r="D13" s="38" t="str">
        <x:v>Broey., Kaiyo</x:v>
      </x:c>
      <x:c r="E13" s="38" t="str">
        <x:v>Wanted (Kaiyo Remix)</x:v>
      </x:c>
      <x:c r="F13" s="38" t="str">
        <x:v>No</x:v>
      </x:c>
      <x:c r="G13" s="38" t="str">
        <x:v>Trap</x:v>
      </x:c>
      <x:c r="H13" s="38" t="str">
        <x:v>0:40-1:40</x:v>
      </x:c>
      <x:c r="I13" s="38" t="str">
        <x:v>ASCAP</x:v>
      </x:c>
      <x:c r="J13" s="38" t="str">
        <x:v>Joseph Montaro &amp; Michael Abel Nascimento</x:v>
      </x:c>
      <x:c r="K13" s="38" t="str">
        <x:v>English</x:v>
      </x:c>
      <x:c r="L13" s="38" t="str">
        <x:v>No</x:v>
      </x:c>
      <x:c r="M13" s="38" t="str">
        <x:v>Joseph Montaro (Arranger), Michael Abel Nascimento (Arranger)</x:v>
      </x:c>
      <x:c r="N13" s="38" t="str">
        <x:v>NONE</x:v>
      </x:c>
      <x:c r="O13" s="38" t="str">
        <x:v>50% / 50%</x:v>
      </x:c>
      <x:c r="P13" s="38" t="str">
        <x:v>Label Engine confirmation + uploaded Fragments Remixes CMG sheet</x:v>
      </x:c>
    </x:row>
    <x:row r="14" ht="54" customHeight="1">
      <x:c r="A14" s="38" t="str">
        <x:v>Fragments (Remixes)</x:v>
      </x:c>
      <x:c r="B14" s="50" t="n">
        <x:v>45422</x:v>
      </x:c>
      <x:c r="C14" s="38" t="n">
        <x:v>7</x:v>
      </x:c>
      <x:c r="D14" s="38" t="str">
        <x:v>Broey., exmaxhina</x:v>
      </x:c>
      <x:c r="E14" s="38" t="str">
        <x:v>Eyes On Me (exmaxhina Remix)</x:v>
      </x:c>
      <x:c r="F14" s="38" t="str">
        <x:v>No</x:v>
      </x:c>
      <x:c r="G14" s="38" t="str">
        <x:v>House (Old School)</x:v>
      </x:c>
      <x:c r="H14" s="38" t="str">
        <x:v>2:50-3:50</x:v>
      </x:c>
      <x:c r="I14" s="38" t="str">
        <x:v>BMI</x:v>
      </x:c>
      <x:c r="J14" s="38" t="str">
        <x:v>Joseph Montaro &amp; Arman Sikder</x:v>
      </x:c>
      <x:c r="K14" s="38" t="str">
        <x:v>English</x:v>
      </x:c>
      <x:c r="L14" s="38" t="str">
        <x:v>No</x:v>
      </x:c>
      <x:c r="M14" s="38" t="str">
        <x:v>Joseph Montaro (Arranger), Arman Sikder (Arranger)</x:v>
      </x:c>
      <x:c r="N14" s="38" t="str">
        <x:v>NONE</x:v>
      </x:c>
      <x:c r="O14" s="38" t="str">
        <x:v>50% / 50%</x:v>
      </x:c>
      <x:c r="P14" s="38" t="str">
        <x:v>Label Engine confirmation + uploaded Fragments Remixes CMG sheet</x:v>
      </x:c>
    </x:row>
    <x:row r="15" ht="54" customHeight="1">
      <x:c r="A15" s="38" t="str">
        <x:v>4u</x:v>
      </x:c>
      <x:c r="B15" s="67" t="n">
        <x:v>45492</x:v>
      </x:c>
      <x:c r="C15" s="38" t="n">
        <x:v>1</x:v>
      </x:c>
      <x:c r="D15" s="38" t="str">
        <x:v>Broey., notminimal.</x:v>
      </x:c>
      <x:c r="E15" s="38" t="str">
        <x:v>4u</x:v>
      </x:c>
      <x:c r="F15" s="38" t="str">
        <x:v>No</x:v>
      </x:c>
      <x:c r="G15" s="38" t="str">
        <x:v>UK Garage / Bassline</x:v>
      </x:c>
      <x:c r="H15" s="38" t="str">
        <x:v>0:42-1:42</x:v>
      </x:c>
      <x:c r="I15" s="38" t="str">
        <x:v>BMI</x:v>
      </x:c>
      <x:c r="J15" s="38" t="str">
        <x:v>Joseph Montaro &amp; Alberto Cicala</x:v>
      </x:c>
      <x:c r="K15" s="38" t="str">
        <x:v>English</x:v>
      </x:c>
      <x:c r="L15" s="38" t="str">
        <x:v>No</x:v>
      </x:c>
      <x:c r="M15" s="38" t="str">
        <x:v>Joseph Montaro (Arranger), Alberto Cicala (Arranger)</x:v>
      </x:c>
      <x:c r="N15" s="38" t="str">
        <x:v>NONE</x:v>
      </x:c>
      <x:c r="O15" s="38" t="str">
        <x:v>50% / 50%</x:v>
      </x:c>
      <x:c r="P15" s="38" t="str">
        <x:v>Label Engine distribution confirmation + pasted release submission/SFA copy</x:v>
      </x:c>
    </x:row>
    <x:row r="16" ht="54" customHeight="1">
      <x:c r="A16" s="38" t="str">
        <x:v>Mean Something</x:v>
      </x:c>
      <x:c r="B16" s="67" t="n">
        <x:v>45597</x:v>
      </x:c>
      <x:c r="C16" s="38" t="n">
        <x:v>1</x:v>
      </x:c>
      <x:c r="D16" s="38" t="str">
        <x:v>Broey.</x:v>
      </x:c>
      <x:c r="E16" s="38" t="str">
        <x:v>Mean Something</x:v>
      </x:c>
      <x:c r="F16" s="38" t="str">
        <x:v>No</x:v>
      </x:c>
      <x:c r="G16" s="38" t="str">
        <x:v>Alternative Electronic</x:v>
      </x:c>
      <x:c r="H16" s="38" t="str">
        <x:v>1:00-2:00</x:v>
      </x:c>
      <x:c r="I16" s="38" t="str">
        <x:v>BMI</x:v>
      </x:c>
      <x:c r="J16" s="38" t="str">
        <x:v>Joseph Montaro</x:v>
      </x:c>
      <x:c r="K16" s="38" t="str">
        <x:v>English</x:v>
      </x:c>
      <x:c r="L16" s="38" t="str">
        <x:v>No</x:v>
      </x:c>
      <x:c r="M16" s="38" t="str">
        <x:v>Joseph Montaro (Arranger)</x:v>
      </x:c>
      <x:c r="N16" s="38" t="str">
        <x:v>NONE</x:v>
      </x:c>
      <x:c r="O16" s="38" t="str">
        <x:v>100% Broey.</x:v>
      </x:c>
      <x:c r="P16" s="38" t="str">
        <x:v>Label Engine distribution confirmation + pasted release submission/SFA copy</x:v>
      </x:c>
    </x:row>
    <x:row r="17" ht="54" customHeight="1">
      <x:c r="A17" s="38" t="str">
        <x:v>I Can't Wait For Love</x:v>
      </x:c>
      <x:c r="B17" s="67" t="n">
        <x:v>45779</x:v>
      </x:c>
      <x:c r="C17" s="38" t="n">
        <x:v>1</x:v>
      </x:c>
      <x:c r="D17" s="38" t="str">
        <x:v>Broey., Broken Blythe</x:v>
      </x:c>
      <x:c r="E17" s="38" t="str">
        <x:v>I Can't Wait For Love</x:v>
      </x:c>
      <x:c r="F17" s="38" t="str">
        <x:v>No</x:v>
      </x:c>
      <x:c r="G17" s="38" t="str">
        <x:v>Drum &amp; Bass</x:v>
      </x:c>
      <x:c r="H17" s="38" t="str">
        <x:v>00:43-1:43</x:v>
      </x:c>
      <x:c r="I17" s="38" t="str">
        <x:v>BMI</x:v>
      </x:c>
      <x:c r="J17" s="38" t="str">
        <x:v>Joseph Montaro &amp; Julian Blythe</x:v>
      </x:c>
      <x:c r="K17" s="38" t="str">
        <x:v>English</x:v>
      </x:c>
      <x:c r="L17" s="38" t="str">
        <x:v>No</x:v>
      </x:c>
      <x:c r="M17" s="38" t="str">
        <x:v>Joseph Montaro (Arranger), Broken Blythe (Lyricist), Broken Blythe (Arranger)</x:v>
      </x:c>
      <x:c r="N17" s="38" t="str">
        <x:v>Broken Blythe</x:v>
      </x:c>
      <x:c r="O17" s="38" t="str">
        <x:v>50% Broey. / 50% Broken Blythe</x:v>
      </x:c>
      <x:c r="P17" s="38" t="str">
        <x:v>Label Engine distribution confirmation + pasted release submission/SFA copy</x:v>
      </x:c>
    </x:row>
    <x:row r="18" ht="54" customHeight="1">
      <x:c r="A18" s="38" t="str">
        <x:v>dancing dumpster fire</x:v>
      </x:c>
      <x:c r="B18" s="50" t="n">
        <x:v>45871</x:v>
      </x:c>
      <x:c r="C18" s="38" t="n">
        <x:v>1</x:v>
      </x:c>
      <x:c r="D18" s="38" t="str">
        <x:v>Broey.</x:v>
      </x:c>
      <x:c r="E18" s="38" t="str">
        <x:v>shake!</x:v>
      </x:c>
      <x:c r="F18" s="38" t="str">
        <x:v>No</x:v>
      </x:c>
      <x:c r="G18" s="38" t="str">
        <x:v>UK Garage / Bassline</x:v>
      </x:c>
      <x:c r="H18" s="38" t="str">
        <x:v>0:39-1:39</x:v>
      </x:c>
      <x:c r="I18" s="38" t="str">
        <x:v>BMI</x:v>
      </x:c>
      <x:c r="J18" s="38" t="str">
        <x:v>Joseph Montaro</x:v>
      </x:c>
      <x:c r="K18" s="38" t="str">
        <x:v>English</x:v>
      </x:c>
      <x:c r="L18" s="38" t="str">
        <x:v>No</x:v>
      </x:c>
      <x:c r="M18" s="38" t="str">
        <x:v>Joseph Montaro (Arranger)</x:v>
      </x:c>
      <x:c r="N18" s="38" t="str">
        <x:v>NONE</x:v>
      </x:c>
      <x:c r="O18" s="38" t="str">
        <x:v>100% Broey.</x:v>
      </x:c>
      <x:c r="P18" s="38" t="str">
        <x:v>Label Engine confirmation + uploaded dancing dumpster fire CMG sheet</x:v>
      </x:c>
    </x:row>
    <x:row r="19" ht="54" customHeight="1">
      <x:c r="A19" s="38" t="str">
        <x:v>dancing dumpster fire</x:v>
      </x:c>
      <x:c r="B19" s="50" t="n">
        <x:v>45871</x:v>
      </x:c>
      <x:c r="C19" s="38" t="n">
        <x:v>2</x:v>
      </x:c>
      <x:c r="D19" s="38" t="str">
        <x:v>Broey.</x:v>
      </x:c>
      <x:c r="E19" s="38" t="str">
        <x:v>old fashion</x:v>
      </x:c>
      <x:c r="F19" s="38" t="str">
        <x:v>No</x:v>
      </x:c>
      <x:c r="G19" s="38" t="str">
        <x:v>UK Garage / Bassline</x:v>
      </x:c>
      <x:c r="H19" s="38" t="str">
        <x:v>2:00-3:00</x:v>
      </x:c>
      <x:c r="I19" s="38" t="str">
        <x:v>BMI</x:v>
      </x:c>
      <x:c r="J19" s="38" t="str">
        <x:v>Joseph Montaro</x:v>
      </x:c>
      <x:c r="K19" s="38" t="str">
        <x:v>English</x:v>
      </x:c>
      <x:c r="L19" s="38" t="str">
        <x:v>No</x:v>
      </x:c>
      <x:c r="M19" s="38" t="str">
        <x:v>Joseph Montaro (Arranger)</x:v>
      </x:c>
      <x:c r="N19" s="38" t="str">
        <x:v>NONE</x:v>
      </x:c>
      <x:c r="O19" s="38" t="str">
        <x:v>100% Broey.</x:v>
      </x:c>
      <x:c r="P19" s="38" t="str">
        <x:v>Label Engine confirmation + uploaded dancing dumpster fire CMG sheet</x:v>
      </x:c>
    </x:row>
    <x:row r="20" ht="54" customHeight="1">
      <x:c r="A20" s="38" t="str">
        <x:v>dancing dumpster fire</x:v>
      </x:c>
      <x:c r="B20" s="50" t="n">
        <x:v>45871</x:v>
      </x:c>
      <x:c r="C20" s="38" t="n">
        <x:v>3</x:v>
      </x:c>
      <x:c r="D20" s="38" t="str">
        <x:v>Broey.</x:v>
      </x:c>
      <x:c r="E20" s="38" t="str">
        <x:v>lil luv</x:v>
      </x:c>
      <x:c r="F20" s="38" t="str">
        <x:v>No</x:v>
      </x:c>
      <x:c r="G20" s="38" t="str">
        <x:v>UK Garage / Bassline</x:v>
      </x:c>
      <x:c r="H20" s="38" t="str">
        <x:v>1:10-2:10</x:v>
      </x:c>
      <x:c r="I20" s="38" t="str">
        <x:v>BMI</x:v>
      </x:c>
      <x:c r="J20" s="38" t="str">
        <x:v>Joseph Montaro</x:v>
      </x:c>
      <x:c r="K20" s="38" t="str">
        <x:v>English</x:v>
      </x:c>
      <x:c r="L20" s="38" t="str">
        <x:v>No</x:v>
      </x:c>
      <x:c r="M20" s="38" t="str">
        <x:v>Joseph Montaro (Arranger)</x:v>
      </x:c>
      <x:c r="N20" s="38" t="str">
        <x:v>NONE</x:v>
      </x:c>
      <x:c r="O20" s="38" t="str">
        <x:v>100% Broey.</x:v>
      </x:c>
      <x:c r="P20" s="38" t="str">
        <x:v>Label Engine confirmation + uploaded dancing dumpster fire CMG sheet</x:v>
      </x:c>
    </x:row>
    <x:row r="21" ht="54" customHeight="1">
      <x:c r="A21" s="38" t="str">
        <x:v>dancing dumpster fire</x:v>
      </x:c>
      <x:c r="B21" s="50" t="n">
        <x:v>45871</x:v>
      </x:c>
      <x:c r="C21" s="38" t="n">
        <x:v>4</x:v>
      </x:c>
      <x:c r="D21" s="38" t="str">
        <x:v>Broey.</x:v>
      </x:c>
      <x:c r="E21" s="38" t="str">
        <x:v>brainrot (feat. Vivid Fever Dreams)</x:v>
      </x:c>
      <x:c r="F21" s="38" t="str">
        <x:v>No</x:v>
      </x:c>
      <x:c r="G21" s="38" t="str">
        <x:v>UK Garage / Bassline</x:v>
      </x:c>
      <x:c r="H21" s="38" t="str">
        <x:v>0:15-1:15</x:v>
      </x:c>
      <x:c r="I21" s="38" t="str">
        <x:v>BMI</x:v>
      </x:c>
      <x:c r="J21" s="38" t="str">
        <x:v>Joseph Montaro</x:v>
      </x:c>
      <x:c r="K21" s="38" t="str">
        <x:v>English</x:v>
      </x:c>
      <x:c r="L21" s="38" t="str">
        <x:v>No</x:v>
      </x:c>
      <x:c r="M21" s="38" t="str">
        <x:v>Joseph Montaro (Arranger)</x:v>
      </x:c>
      <x:c r="N21" s="38" t="str">
        <x:v>NONE</x:v>
      </x:c>
      <x:c r="O21" s="38" t="str">
        <x:v>50% / 50% per uploaded sheet; confirmation lists Joseph Montaro</x:v>
      </x:c>
      <x:c r="P21" s="38" t="str">
        <x:v>Label Engine confirmation + uploaded dancing dumpster fire CMG sheet</x:v>
      </x:c>
    </x:row>
    <x:row r="22" ht="54" customHeight="1">
      <x:c r="A22" s="38" t="str">
        <x:v>dancing dumpster fire</x:v>
      </x:c>
      <x:c r="B22" s="50" t="n">
        <x:v>45871</x:v>
      </x:c>
      <x:c r="C22" s="38" t="n">
        <x:v>5</x:v>
      </x:c>
      <x:c r="D22" s="38" t="str">
        <x:v>Broey.</x:v>
      </x:c>
      <x:c r="E22" s="38" t="str">
        <x:v>glfm</x:v>
      </x:c>
      <x:c r="F22" s="38" t="str">
        <x:v>No</x:v>
      </x:c>
      <x:c r="G22" s="38" t="str">
        <x:v>Trance</x:v>
      </x:c>
      <x:c r="H22" s="38" t="str">
        <x:v>0:44-1:44</x:v>
      </x:c>
      <x:c r="I22" s="38" t="str">
        <x:v>BMI</x:v>
      </x:c>
      <x:c r="J22" s="38" t="str">
        <x:v>Joseph Montaro</x:v>
      </x:c>
      <x:c r="K22" s="38" t="str">
        <x:v>English</x:v>
      </x:c>
      <x:c r="L22" s="38" t="str">
        <x:v>No</x:v>
      </x:c>
      <x:c r="M22" s="38" t="str">
        <x:v>Joseph Montaro (Arranger)</x:v>
      </x:c>
      <x:c r="N22" s="38" t="str">
        <x:v>NONE</x:v>
      </x:c>
      <x:c r="O22" s="38" t="str">
        <x:v>100% Broey.</x:v>
      </x:c>
      <x:c r="P22" s="38" t="str">
        <x:v>Label Engine confirmation + uploaded dancing dumpster fire CMG sheet</x:v>
      </x:c>
    </x:row>
    <x:row r="23" ht="54" customHeight="1">
      <x:c r="A23" s="38" t="str">
        <x:v>dancing dumpster fire</x:v>
      </x:c>
      <x:c r="B23" s="50" t="n">
        <x:v>45871</x:v>
      </x:c>
      <x:c r="C23" s="38" t="n">
        <x:v>6</x:v>
      </x:c>
      <x:c r="D23" s="38" t="str">
        <x:v>Broey., DreamEater, Broken Blythe</x:v>
      </x:c>
      <x:c r="E23" s="38" t="str">
        <x:v>i can do better (broey. remix)</x:v>
      </x:c>
      <x:c r="F23" s="38" t="str">
        <x:v>No</x:v>
      </x:c>
      <x:c r="G23" s="38" t="str">
        <x:v>UK Garage / Bassline</x:v>
      </x:c>
      <x:c r="H23" s="38" t="str">
        <x:v>0:15-1:15</x:v>
      </x:c>
      <x:c r="I23" s="38" t="str">
        <x:v>BMI</x:v>
      </x:c>
      <x:c r="J23" s="38" t="str">
        <x:v>Joseph Montaro, Nicholas Scyoc, Julian Blythe</x:v>
      </x:c>
      <x:c r="K23" s="38" t="str">
        <x:v>English</x:v>
      </x:c>
      <x:c r="L23" s="38" t="str">
        <x:v>No</x:v>
      </x:c>
      <x:c r="M23" s="38" t="str">
        <x:v>Joseph Montaro (Arranger), DreamEater (Arranger), Broken Blythe (Arranger), Broken Blythe (Lyricist), Julian Blythe (Lyricist)</x:v>
      </x:c>
      <x:c r="N23" s="38" t="str">
        <x:v>Broken Blythe, Julian Blythe</x:v>
      </x:c>
      <x:c r="O23" s="38" t="str">
        <x:v>33% / 33% / 33%</x:v>
      </x:c>
      <x:c r="P23" s="38" t="str">
        <x:v>Label Engine confirmation + uploaded dancing dumpster fire CMG sheet</x:v>
      </x:c>
    </x:row>
    <x:row r="24" ht="54" customHeight="1">
      <x:c r="A24" s="38" t="str">
        <x:v>dancing dumpster fire</x:v>
      </x:c>
      <x:c r="B24" s="50" t="n">
        <x:v>45871</x:v>
      </x:c>
      <x:c r="C24" s="38" t="n">
        <x:v>7</x:v>
      </x:c>
      <x:c r="D24" s="38" t="str">
        <x:v>Broey., notminimal.</x:v>
      </x:c>
      <x:c r="E24" s="38" t="str">
        <x:v>4u vip</x:v>
      </x:c>
      <x:c r="F24" s="38" t="str">
        <x:v>No</x:v>
      </x:c>
      <x:c r="G24" s="38" t="str">
        <x:v>UK Garage / Bassline</x:v>
      </x:c>
      <x:c r="H24" s="38" t="str">
        <x:v>1:26-2:22</x:v>
      </x:c>
      <x:c r="I24" s="38" t="str">
        <x:v>BMI</x:v>
      </x:c>
      <x:c r="J24" s="38" t="str">
        <x:v>Joseph Montaro, Alberto Cicala</x:v>
      </x:c>
      <x:c r="K24" s="38" t="str">
        <x:v>English</x:v>
      </x:c>
      <x:c r="L24" s="38" t="str">
        <x:v>No</x:v>
      </x:c>
      <x:c r="M24" s="38" t="str">
        <x:v>Joseph Montaro (Arranger), notminimal. (Arranger)</x:v>
      </x:c>
      <x:c r="N24" s="38" t="str">
        <x:v>NONE</x:v>
      </x:c>
      <x:c r="O24" s="38" t="str">
        <x:v>50% / 50%</x:v>
      </x:c>
      <x:c r="P24" s="38" t="str">
        <x:v>Label Engine confirmation + uploaded dancing dumpster fire CMG sheet</x:v>
      </x:c>
    </x:row>
    <x:row r="25" ht="54" customHeight="1">
      <x:c r="A25" s="38" t="str">
        <x:v>STEREO LUV</x:v>
      </x:c>
      <x:c r="B25" s="50" t="n">
        <x:v>45933</x:v>
      </x:c>
      <x:c r="C25" s="38" t="n">
        <x:v>1</x:v>
      </x:c>
      <x:c r="D25" s="38" t="str">
        <x:v>Broey.</x:v>
      </x:c>
      <x:c r="E25" s="38" t="str">
        <x:v>STEREO LUV</x:v>
      </x:c>
      <x:c r="F25" s="38" t="str">
        <x:v>No</x:v>
      </x:c>
      <x:c r="G25" s="38" t="str">
        <x:v>Deep House</x:v>
      </x:c>
      <x:c r="H25" s="38" t="str">
        <x:v>3:56-4:56</x:v>
      </x:c>
      <x:c r="I25" s="38" t="str">
        <x:v>BMI</x:v>
      </x:c>
      <x:c r="J25" s="38" t="str">
        <x:v>Joseph Montaro</x:v>
      </x:c>
      <x:c r="K25" s="38" t="str">
        <x:v>English</x:v>
      </x:c>
      <x:c r="L25" s="38" t="str">
        <x:v>No</x:v>
      </x:c>
      <x:c r="M25" s="38" t="str">
        <x:v>Joseph Montaro: Producer, Arranger, Musician</x:v>
      </x:c>
      <x:c r="N25" s="38" t="str">
        <x:v>NONE</x:v>
      </x:c>
      <x:c r="O25" s="38" t="str">
        <x:v>Joseph Montaro 100%</x:v>
      </x:c>
      <x:c r="P25" s="38" t="str">
        <x:v>Label Engine distribution confirmation + pasted submission</x:v>
      </x:c>
    </x:row>
    <x:row r="26" ht="54" customHeight="1">
      <x:c r="A26" s="38" t="str">
        <x:v>blu.</x:v>
      </x:c>
      <x:c r="B26" s="50" t="n">
        <x:v>46059</x:v>
      </x:c>
      <x:c r="C26" s="38" t="n">
        <x:v>1</x:v>
      </x:c>
      <x:c r="D26" s="38" t="str">
        <x:v>Broey.</x:v>
      </x:c>
      <x:c r="E26" s="38" t="str">
        <x:v>blu. (radio version)</x:v>
      </x:c>
      <x:c r="F26" s="38" t="str">
        <x:v>No</x:v>
      </x:c>
      <x:c r="G26" s="38" t="str">
        <x:v>Deep House</x:v>
      </x:c>
      <x:c r="H26" s="38" t="str"/>
      <x:c r="I26" s="38" t="str">
        <x:v>BMI</x:v>
      </x:c>
      <x:c r="J26" s="38" t="str">
        <x:v>Broey.</x:v>
      </x:c>
      <x:c r="K26" s="38" t="str">
        <x:v>English</x:v>
      </x:c>
      <x:c r="L26" s="38" t="str">
        <x:v>No</x:v>
      </x:c>
      <x:c r="M26" s="38" t="str">
        <x:v>Joseph Montaro: Mastering Engineer, Mixing Engineer, Producer, Songwriter, Musician</x:v>
      </x:c>
      <x:c r="N26" s="38" t="str">
        <x:v>NONE</x:v>
      </x:c>
      <x:c r="O26" s="38" t="str"/>
      <x:c r="P26" s="38" t="str">
        <x:v>Label Engine distribution confirmation</x:v>
      </x:c>
    </x:row>
    <x:row r="27" ht="54" customHeight="1">
      <x:c r="A27" s="38" t="str">
        <x:v>blu.</x:v>
      </x:c>
      <x:c r="B27" s="50" t="n">
        <x:v>46059</x:v>
      </x:c>
      <x:c r="C27" s="38" t="n">
        <x:v>2</x:v>
      </x:c>
      <x:c r="D27" s="38" t="str">
        <x:v>Broey.</x:v>
      </x:c>
      <x:c r="E27" s="38" t="str">
        <x:v>blu. (extended mix)</x:v>
      </x:c>
      <x:c r="F27" s="38" t="str">
        <x:v>No</x:v>
      </x:c>
      <x:c r="G27" s="38" t="str">
        <x:v>Deep House</x:v>
      </x:c>
      <x:c r="H27" s="38" t="str"/>
      <x:c r="I27" s="38" t="str">
        <x:v>BMI</x:v>
      </x:c>
      <x:c r="J27" s="38" t="str">
        <x:v>Broey.</x:v>
      </x:c>
      <x:c r="K27" s="38" t="str">
        <x:v>English</x:v>
      </x:c>
      <x:c r="L27" s="38" t="str">
        <x:v>No</x:v>
      </x:c>
      <x:c r="M27" s="38" t="str">
        <x:v>Joseph Montaro: Mastering Engineer, Mixing Engineer, Producer, Songwriter, Musician</x:v>
      </x:c>
      <x:c r="N27" s="38" t="str">
        <x:v>NONE</x:v>
      </x:c>
      <x:c r="O27" s="38" t="str"/>
      <x:c r="P27" s="38" t="str">
        <x:v>Label Engine distribution confirmation</x:v>
      </x:c>
    </x:row>
  </x:sheetData>
  <x:pageMargins left="0.7" right="0.7" top="0.75" bottom="0.75" header="0.3" footer="0.3"/>
  <x:tableParts count="1">
    <x:tablePart xmlns:r="http://schemas.openxmlformats.org/officeDocument/2006/relationships" r:id="R2a2f33e6e16e46aa"/>
  </x:tableParts>
</x:worksheet>
</file>

<file path=xl/worksheets/sheet8.xml><?xml version="1.0" encoding="utf-8"?>
<x:worksheet xmlns:x="http://schemas.openxmlformats.org/spreadsheetml/2006/main">
  <x:sheetFormatPr defaultRowHeight="15"/>
  <x:cols>
    <x:col min="1" max="1" width="34" hidden="0" customWidth="1"/>
    <x:col min="2" max="2" width="34" hidden="0" customWidth="1"/>
    <x:col min="3" max="3" width="68" hidden="0" customWidth="1"/>
  </x:cols>
  <x:sheetData>
    <x:row r="1" ht="32" customHeight="1">
      <x:c r="A1" s="37" t="str">
        <x:v>Field / Source Content</x:v>
      </x:c>
      <x:c r="B1" s="37" t="str">
        <x:v>Treatment</x:v>
      </x:c>
      <x:c r="C1" s="37" t="str">
        <x:v>Reason</x:v>
      </x:c>
    </x:row>
    <x:row r="2">
      <x:c r="A2" s="38" t="str">
        <x:v>Follower counts</x:v>
      </x:c>
      <x:c r="B2" s="38" t="str">
        <x:v>Omitted from registry</x:v>
      </x:c>
      <x:c r="C2" s="38" t="str">
        <x:v>Follower snapshots age quickly and should not drive evergreen website metadata.</x:v>
      </x:c>
    </x:row>
    <x:row r="3">
      <x:c r="A3" s="38" t="str">
        <x:v>Marketing budgets</x:v>
      </x:c>
      <x:c r="B3" s="38" t="str">
        <x:v>Summarized only where strategically useful</x:v>
      </x:c>
      <x:c r="C3" s="38" t="str">
        <x:v>Ad budgets are campaign ops data, not release metadata.</x:v>
      </x:c>
    </x:row>
    <x:row r="4">
      <x:c r="A4" s="38" t="str">
        <x:v>Long DSP store lists</x:v>
      </x:c>
      <x:c r="B4" s="38" t="str">
        <x:v>Condensed into Platform Notes</x:v>
      </x:c>
      <x:c r="C4" s="38" t="str">
        <x:v>Website needs direct key links, not every distributor outlet row.</x:v>
      </x:c>
    </x:row>
    <x:row r="5">
      <x:c r="A5" s="38" t="str">
        <x:v>Administrative email greetings/signatures</x:v>
      </x:c>
      <x:c r="B5" s="38" t="str">
        <x:v>Omitted</x:v>
      </x:c>
      <x:c r="C5" s="38" t="str">
        <x:v>No website or metadata value.</x:v>
      </x:c>
    </x:row>
    <x:row r="6">
      <x:c r="A6" s="38" t="str">
        <x:v>Duplicate Fragments SFA block</x:v>
      </x:c>
      <x:c r="B6" s="38" t="str">
        <x:v>Deduped</x:v>
      </x:c>
      <x:c r="C6" s="38" t="str">
        <x:v>Same copy appeared twice in pasted source.</x:v>
      </x:c>
    </x:row>
    <x:row r="7">
      <x:c r="A7" s="38" t="str">
        <x:v>Upcoming tour dates marked N/A</x:v>
      </x:c>
      <x:c r="B7" s="38" t="str">
        <x:v>Omitted</x:v>
      </x:c>
      <x:c r="C7" s="38" t="str">
        <x:v>No active dates to show.</x:v>
      </x:c>
    </x:row>
    <x:row r="8">
      <x:c r="A8" s="38" t="str">
        <x:v>Who Will Submit SFA</x:v>
      </x:c>
      <x:c r="B8" s="38" t="str">
        <x:v>Omitted from main registry</x:v>
      </x:c>
      <x:c r="C8" s="38" t="str">
        <x:v>Submission responsibility is internal campaign logistics.</x:v>
      </x:c>
    </x:row>
    <x:row r="9">
      <x:c r="A9" s="38" t="str">
        <x:v>Unconfirmed press/outreach plans</x:v>
      </x:c>
      <x:c r="B9" s="38" t="str">
        <x:v>Used only as guidance notes</x:v>
      </x:c>
      <x:c r="C9" s="38" t="str">
        <x:v>Do not publish as claims unless verified.</x:v>
      </x:c>
    </x:row>
    <x:row r="10">
      <x:c r="A10" s="38" t="str">
        <x:v>Social rollout details</x:v>
      </x:c>
      <x:c r="B10" s="38" t="str">
        <x:v>Converted to website guidance where relevant</x:v>
      </x:c>
      <x:c r="C10" s="38" t="str">
        <x:v>Useful for positioning, not core release metadata.</x:v>
      </x:c>
    </x:row>
    <x:row r="11">
      <x:c r="A11" s="38" t="str">
        <x:v>Raw release descriptions</x:v>
      </x:c>
      <x:c r="B11" s="38" t="str">
        <x:v>Rewritten into copy bank and source story fields</x:v>
      </x:c>
      <x:c r="C11" s="38" t="str">
        <x:v>Preserves useful narrative while making it website-ready.</x:v>
      </x:c>
    </x:row>
  </x:sheetData>
  <x:pageMargins left="0.7" right="0.7" top="0.75" bottom="0.75" header="0.3" footer="0.3"/>
  <x:tableParts count="1">
    <x:tablePart xmlns:r="http://schemas.openxmlformats.org/officeDocument/2006/relationships" r:id="R59e8a52d3c394bf9"/>
  </x:tableParts>
</x:worksheet>
</file>

<file path=xl/worksheets/sheet9.xml><?xml version="1.0" encoding="utf-8"?>
<x:worksheet xmlns:x="http://schemas.openxmlformats.org/spreadsheetml/2006/main">
  <x:sheetFormatPr defaultRowHeight="15"/>
  <x:cols>
    <x:col min="1" max="1" width="24" hidden="0" customWidth="1"/>
    <x:col min="2" max="2" width="34" hidden="0" customWidth="1"/>
    <x:col min="3" max="3" width="56" hidden="0" customWidth="1"/>
    <x:col min="4" max="4" width="64" hidden="0" customWidth="1"/>
  </x:cols>
  <x:sheetData>
    <x:row r="1" ht="32" customHeight="1">
      <x:c r="A1" s="37" t="str">
        <x:v>Sheet</x:v>
      </x:c>
      <x:c r="B1" s="37" t="str">
        <x:v>Column / Field</x:v>
      </x:c>
      <x:c r="C1" s="37" t="str">
        <x:v>Meaning</x:v>
      </x:c>
      <x:c r="D1" s="37" t="str">
        <x:v>Website / Codex Usage</x:v>
      </x:c>
    </x:row>
    <x:row r="2">
      <x:c r="A2" s="38" t="str">
        <x:v>Release Registry</x:v>
      </x:c>
      <x:c r="B2" s="38" t="str">
        <x:v>Website Slug</x:v>
      </x:c>
      <x:c r="C2" s="38" t="str">
        <x:v>Canonical ID for website release object.</x:v>
      </x:c>
      <x:c r="D2" s="38" t="str">
        <x:v>Use for route, data key, image naming, and platform-link mapping.</x:v>
      </x:c>
    </x:row>
    <x:row r="3">
      <x:c r="A3" s="38" t="str">
        <x:v>Release Registry</x:v>
      </x:c>
      <x:c r="B3" s="38" t="str">
        <x:v>Website Route</x:v>
      </x:c>
      <x:c r="C3" s="38" t="str">
        <x:v>Expected dynamic route path.</x:v>
      </x:c>
      <x:c r="D3" s="38" t="str">
        <x:v>Should map to /music/[slug].</x:v>
      </x:c>
    </x:row>
    <x:row r="4">
      <x:c r="A4" s="38" t="str">
        <x:v>Release Registry</x:v>
      </x:c>
      <x:c r="B4" s="38" t="str">
        <x:v>Publish Status</x:v>
      </x:c>
      <x:c r="C4" s="38" t="str">
        <x:v>Readiness label based on available metadata.</x:v>
      </x:c>
      <x:c r="D4" s="38" t="str">
        <x:v>Use to decide whether to publish, hide, or flag for review.</x:v>
      </x:c>
    </x:row>
    <x:row r="5">
      <x:c r="A5" s="38" t="str">
        <x:v>Release Registry</x:v>
      </x:c>
      <x:c r="B5" s="38" t="str">
        <x:v>Data Confidence</x:v>
      </x:c>
      <x:c r="C5" s="38" t="str">
        <x:v>How complete/confirmed the row is.</x:v>
      </x:c>
      <x:c r="D5" s="38" t="str">
        <x:v>Codex should avoid hardcoding missing UPC/ISRC fields for Partial rows.</x:v>
      </x:c>
    </x:row>
    <x:row r="6">
      <x:c r="A6" s="38" t="str">
        <x:v>Release Registry</x:v>
      </x:c>
      <x:c r="B6" s="38" t="str">
        <x:v>Website Summary</x:v>
      </x:c>
      <x:c r="C6" s="38" t="str">
        <x:v>Short public-facing release summary.</x:v>
      </x:c>
      <x:c r="D6" s="38" t="str">
        <x:v>Use on music grid cards, release hero subheads, and previews.</x:v>
      </x:c>
    </x:row>
    <x:row r="7">
      <x:c r="A7" s="38" t="str">
        <x:v>Release Registry</x:v>
      </x:c>
      <x:c r="B7" s="38" t="str">
        <x:v>Long Description / Source Story</x:v>
      </x:c>
      <x:c r="C7" s="38" t="str">
        <x:v>Clean narrative adapted from SFA/marketing copy.</x:v>
      </x:c>
      <x:c r="D7" s="38" t="str">
        <x:v>Use on release detail pages; trim as needed.</x:v>
      </x:c>
    </x:row>
    <x:row r="8">
      <x:c r="A8" s="38" t="str">
        <x:v>Release Registry</x:v>
      </x:c>
      <x:c r="B8" s="38" t="str">
        <x:v>Website Guidance / Notes</x:v>
      </x:c>
      <x:c r="C8" s="38" t="str">
        <x:v>Internal implementation notes, caveats, and positioning.</x:v>
      </x:c>
      <x:c r="D8" s="38" t="str">
        <x:v>Do not publish verbatim unless intentionally exposed.</x:v>
      </x:c>
    </x:row>
    <x:row r="9">
      <x:c r="A9" s="38" t="str">
        <x:v>Track Registry</x:v>
      </x:c>
      <x:c r="B9" s="38" t="str">
        <x:v>Track Display Title</x:v>
      </x:c>
      <x:c r="C9" s="38" t="str">
        <x:v>Website-friendly title including mix/version/feature where needed.</x:v>
      </x:c>
      <x:c r="D9" s="38" t="str">
        <x:v>Use on tracklists and player labels.</x:v>
      </x:c>
    </x:row>
    <x:row r="10">
      <x:c r="A10" s="38" t="str">
        <x:v>Track Registry</x:v>
      </x:c>
      <x:c r="B10" s="38" t="str">
        <x:v>ISRC</x:v>
      </x:c>
      <x:c r="C10" s="38" t="str">
        <x:v>Official track identifier when available.</x:v>
      </x:c>
      <x:c r="D10" s="38" t="str">
        <x:v>Store in metadata; leave blank for partial rows until confirmed.</x:v>
      </x:c>
    </x:row>
    <x:row r="11">
      <x:c r="A11" s="38" t="str">
        <x:v>Track Registry</x:v>
      </x:c>
      <x:c r="B11" s="38" t="str">
        <x:v>Track Short Copy</x:v>
      </x:c>
      <x:c r="C11" s="38" t="str">
        <x:v>Concise track-level description.</x:v>
      </x:c>
      <x:c r="D11" s="38" t="str">
        <x:v>Use under tracklists, hover cards, or expanded release details.</x:v>
      </x:c>
    </x:row>
    <x:row r="12">
      <x:c r="A12" s="38" t="str">
        <x:v>Track Registry</x:v>
      </x:c>
      <x:c r="B12" s="38" t="str">
        <x:v>Website Placement Notes</x:v>
      </x:c>
      <x:c r="C12" s="38" t="str">
        <x:v>Internal notes for conflicts or usage decisions.</x:v>
      </x:c>
      <x:c r="D12" s="38" t="str">
        <x:v>Use during manual QA; do not publish raw conflict notes.</x:v>
      </x:c>
    </x:row>
    <x:row r="13">
      <x:c r="A13" s="38" t="str">
        <x:v>Website Copy</x:v>
      </x:c>
      <x:c r="B13" s="38" t="str">
        <x:v>Placement</x:v>
      </x:c>
      <x:c r="C13" s="38" t="str">
        <x:v>Suggested destination for the copy.</x:v>
      </x:c>
      <x:c r="D13" s="38" t="str">
        <x:v>Codex can choose matching placements instead of inventing copy.</x:v>
      </x:c>
    </x:row>
    <x:row r="14">
      <x:c r="A14" s="38" t="str">
        <x:v>Platform Notes</x:v>
      </x:c>
      <x:c r="B14" s="38" t="str">
        <x:v>Smart Link / Pre-save</x:v>
      </x:c>
      <x:c r="C14" s="38" t="str">
        <x:v>Create Music smartlink/presave when provided.</x:v>
      </x:c>
      <x:c r="D14" s="38" t="str">
        <x:v>Use as fallback link only; direct DSP links are preferable.</x:v>
      </x:c>
    </x:row>
    <x:row r="15">
      <x:c r="A15" s="38" t="str">
        <x:v>Platform Notes</x:v>
      </x:c>
      <x:c r="B15" s="38" t="str">
        <x:v>Link Research Needed?</x:v>
      </x:c>
      <x:c r="C15" s="38" t="str">
        <x:v>Whether direct official platform URLs still need to be gathered.</x:v>
      </x:c>
      <x:c r="D15" s="38" t="str">
        <x:v>Keep link buttons hidden/disabled if direct links are missing.</x:v>
      </x:c>
    </x:row>
    <x:row r="16">
      <x:c r="A16" s="38" t="str">
        <x:v>CMG Source Fields</x:v>
      </x:c>
      <x:c r="B16" s="38" t="str">
        <x:v>Consolidated CMG-style track rows</x:v>
      </x:c>
      <x:c r="C16" s="38" t="str">
        <x:v>A normalized copy of the earlier CMG release-sheet format.</x:v>
      </x:c>
      <x:c r="D16" s="38" t="str">
        <x:v>Useful for comparing against prior release sheets, not as the main website schema.</x:v>
      </x:c>
    </x:row>
    <x:row r="17">
      <x:c r="A17" s="38" t="str">
        <x:v>Ignored Fields</x:v>
      </x:c>
      <x:c r="B17" s="38" t="str">
        <x:v>Treatment</x:v>
      </x:c>
      <x:c r="C17" s="38" t="str">
        <x:v>Documents discarded or transformed metadata.</x:v>
      </x:c>
      <x:c r="D17" s="38" t="str">
        <x:v>Use to understand why certain pasted fields are absent.</x:v>
      </x:c>
    </x:row>
  </x:sheetData>
  <x:pageMargins left="0.7" right="0.7" top="0.75" bottom="0.75" header="0.3" footer="0.3"/>
  <x:tableParts count="1">
    <x:tablePart xmlns:r="http://schemas.openxmlformats.org/officeDocument/2006/relationships" r:id="R4d40816518b04e36"/>
  </x:tableParts>
</x:worksheet>
</file>